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ccde9d103144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总览" sheetId="1" r:id="R0d92384b861c4c1f"/>
    <x:sheet xmlns:r="http://schemas.openxmlformats.org/officeDocument/2006/relationships" name="01_资产清单" sheetId="2" r:id="Reb9d6c67bf064415"/>
    <x:sheet xmlns:r="http://schemas.openxmlformats.org/officeDocument/2006/relationships" name="02_身份DNA" sheetId="3" r:id="R89f1aab89acd4198"/>
    <x:sheet xmlns:r="http://schemas.openxmlformats.org/officeDocument/2006/relationships" name="03_服装雨态" sheetId="4" r:id="Rc1fb1229ed0c46f0"/>
    <x:sheet xmlns:r="http://schemas.openxmlformats.org/officeDocument/2006/relationships" name="04_验收表" sheetId="5" r:id="R6443ff2faa2b42d9"/>
    <x:sheet xmlns:r="http://schemas.openxmlformats.org/officeDocument/2006/relationships" name="05_首批队列" sheetId="6" r:id="Re32b84e5ec9a4dfd"/>
    <x:sheet xmlns:r="http://schemas.openxmlformats.org/officeDocument/2006/relationships" name="06_镜头适配" sheetId="7" r:id="Rb64b7a8e46bd432a"/>
    <x:sheet xmlns:r="http://schemas.openxmlformats.org/officeDocument/2006/relationships" name="07_来源说明" sheetId="8" r:id="R2d10fbbec3fc4d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8">
    <x:font>
      <x:sz val="11"/>
      <x:name val="Carlito"/>
    </x:font>
    <x:font>
      <x:b/>
      <x:sz val="18"/>
      <x:color rgb="FFFFFFFF"/>
      <x:name val="Microsoft YaHei"/>
    </x:font>
    <x:font>
      <x:sz val="10"/>
      <x:color rgb="FF2F2925"/>
      <x:name val="Microsoft YaHei"/>
    </x:font>
    <x:font>
      <x:sz val="10"/>
      <x:name val="Microsoft YaHei"/>
    </x:font>
    <x:font>
      <x:b/>
      <x:sz val="10"/>
      <x:color rgb="FFFFFFFF"/>
      <x:name val="Microsoft YaHei"/>
    </x:font>
    <x:font>
      <x:sz val="9"/>
      <x:name val="Microsoft YaHei"/>
    </x:font>
    <x:font>
      <x:sz val="9"/>
      <x:color rgb="FF2F2925"/>
      <x:name val="Microsoft YaHei"/>
    </x:font>
    <x:font>
      <x:b/>
      <x:sz val="9"/>
      <x:color rgb="FFFFFFFF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4B372B"/>
      </x:patternFill>
    </x:fill>
    <x:fill>
      <x:patternFill patternType="solid">
        <x:fgColor rgb="FFF5F0E8"/>
      </x:patternFill>
    </x:fill>
    <x:fill>
      <x:patternFill patternType="solid">
        <x:fgColor rgb="FFA45F3B"/>
      </x:patternFill>
    </x:fill>
    <x:fill>
      <x:patternFill patternType="solid">
        <x:fgColor rgb="FF66745F"/>
      </x:patternFill>
    </x:fill>
  </x:fills>
  <x:borders count="5">
    <x:border/>
    <x:border>
      <x:left style="thin">
        <x:color rgb="FFD5CEC4"/>
      </x:left>
      <x:right style="thin">
        <x:color rgb="FFD5CEC4"/>
      </x:right>
      <x:top style="thin">
        <x:color rgb="FFD5CEC4"/>
      </x:top>
      <x:bottom style="thin">
        <x:color rgb="FFD5CEC4"/>
      </x:bottom>
    </x:border>
    <x:border>
      <x:left style="thin">
        <x:color rgb="FF4B372B"/>
      </x:left>
      <x:top style="thin">
        <x:color rgb="FF4B372B"/>
      </x:top>
      <x:bottom style="thin">
        <x:color rgb="FF4B372B"/>
      </x:bottom>
    </x:border>
    <x:border>
      <x:top style="thin">
        <x:color rgb="FF4B372B"/>
      </x:top>
      <x:bottom style="thin">
        <x:color rgb="FF4B372B"/>
      </x:bottom>
    </x:border>
    <x:border>
      <x:right style="thin">
        <x:color rgb="FF4B372B"/>
      </x:right>
      <x:top style="thin">
        <x:color rgb="FF4B372B"/>
      </x:top>
      <x:bottom style="thin">
        <x:color rgb="FF4B372B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7" fillId="4" borderId="2" xfId="0" applyNumberFormat="1" applyFont="1" applyFill="1" applyBorder="1" applyAlignment="1">
      <x:alignment vertical="center" wrapText="1"/>
    </x:xf>
    <x:xf numFmtId="0" fontId="7" fillId="4" borderId="3" xfId="0" applyNumberFormat="1" applyFont="1" applyFill="1" applyBorder="1" applyAlignment="1">
      <x:alignment vertical="center" wrapText="1"/>
    </x:xf>
    <x:xf numFmtId="0" fontId="7" fillId="4" borderId="4" xfId="0" applyNumberFormat="1" applyFont="1" applyFill="1" applyBorder="1" applyAlignment="1">
      <x:alignment vertical="center" wrapText="1"/>
    </x:xf>
    <x:xf numFmtId="0" fontId="7" fillId="4" borderId="2" xfId="0" applyNumberFormat="1" applyFont="1" applyFill="1" applyBorder="1" applyAlignment="1">
      <x:alignment horizontal="center" vertical="center" wrapText="1"/>
    </x:xf>
    <x:xf numFmtId="0" fontId="7" fillId="4" borderId="3" xfId="0" applyNumberFormat="1" applyFont="1" applyFill="1" applyBorder="1" applyAlignment="1">
      <x:alignment horizontal="center" vertical="center" wrapText="1"/>
    </x:xf>
    <x:xf numFmtId="0" fontId="7" fillId="4" borderId="4" xfId="0" applyNumberFormat="1" applyFont="1" applyFill="1" applyBorder="1" applyAlignment="1">
      <x:alignment horizontal="center" vertical="center" wrapText="1"/>
    </x:xf>
    <x:xf numFmtId="201" fontId="6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0" fontId="6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200" fontId="6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2">
    <x:dxf>
      <x:font>
        <x:b/>
        <x:color rgb="FF2F5B38"/>
      </x:font>
      <x:fill>
        <x:patternFill patternType="solid">
          <x:bgColor rgb="FFDDEBDD"/>
        </x:patternFill>
      </x:fill>
    </x:dxf>
    <x:dxf>
      <x:font>
        <x:b/>
        <x:color rgb="FF8E3027"/>
      </x:font>
      <x:fill>
        <x:patternFill patternType="solid">
          <x:bgColor rgb="FFF2D1CC"/>
        </x:patternFill>
      </x:fill>
    </x:dxf>
    <x:dxf>
      <x:font>
        <x:b/>
        <x:color rgb="FF2F5B38"/>
      </x:font>
      <x:fill>
        <x:patternFill patternType="solid">
          <x:bgColor rgb="FFDDEBDD"/>
        </x:patternFill>
      </x:fill>
    </x:dxf>
    <x:dxf>
      <x:font>
        <x:b/>
        <x:color rgb="FF7A5716"/>
      </x:font>
      <x:fill>
        <x:patternFill patternType="solid">
          <x:bgColor rgb="FFF8E8B7"/>
        </x:patternFill>
      </x:fill>
    </x:dxf>
    <x:dxf>
      <x:font>
        <x:b/>
        <x:color rgb="FF8E3027"/>
      </x:font>
      <x:fill>
        <x:patternFill patternType="solid">
          <x:bgColor rgb="FFF2D1CC"/>
        </x:patternFill>
      </x:fill>
    </x:dxf>
    <x:dxf>
      <x:font>
        <x:b/>
        <x:color rgb="FF7F241D"/>
      </x:font>
      <x:fill>
        <x:patternFill patternType="solid">
          <x:bgColor rgb="FFE6D5D2"/>
        </x:patternFill>
      </x:fill>
    </x:dxf>
    <x:dxf>
      <x:font>
        <x:b/>
        <x:color rgb="FF2F5B38"/>
      </x:font>
      <x:fill>
        <x:patternFill patternType="solid">
          <x:bgColor rgb="FFDDEBDD"/>
        </x:patternFill>
      </x:fill>
    </x:dxf>
    <x:dxf>
      <x:font>
        <x:b/>
        <x:color rgb="FF7A5716"/>
      </x:font>
      <x:fill>
        <x:patternFill patternType="solid">
          <x:bgColor rgb="FFF8E8B7"/>
        </x:patternFill>
      </x:fill>
    </x:dxf>
    <x:dxf>
      <x:font>
        <x:b/>
        <x:color rgb="FF8E3027"/>
      </x:font>
      <x:fill>
        <x:patternFill patternType="solid">
          <x:bgColor rgb="FFF2D1CC"/>
        </x:patternFill>
      </x:fill>
    </x:dxf>
    <x:dxf>
      <x:font>
        <x:b/>
        <x:color rgb="FF7F241D"/>
      </x:font>
      <x:fill>
        <x:patternFill patternType="solid">
          <x:bgColor rgb="FFE6D5D2"/>
        </x:patternFill>
      </x:fill>
    </x:dxf>
    <x:dxf>
      <x:font>
        <x:b/>
        <x:color rgb="FF2F5B38"/>
      </x:font>
      <x:fill>
        <x:patternFill patternType="solid">
          <x:bgColor rgb="FFDDEBDD"/>
        </x:patternFill>
      </x:fill>
    </x:dxf>
    <x:dxf>
      <x:font>
        <x:b/>
        <x:color rgb="FF7A5716"/>
      </x:font>
      <x:fill>
        <x:patternFill patternType="solid">
          <x:bgColor rgb="FFF8E8B7"/>
        </x:patternFill>
      </x:fill>
    </x:dxf>
    <x:dxf>
      <x:font>
        <x:b/>
        <x:color rgb="FF8E3027"/>
      </x:font>
      <x:fill>
        <x:patternFill patternType="solid">
          <x:bgColor rgb="FFF2D1CC"/>
        </x:patternFill>
      </x:fill>
    </x:dxf>
    <x:dxf>
      <x:font>
        <x:b/>
        <x:color rgb="FF7F241D"/>
      </x:font>
      <x:fill>
        <x:patternFill patternType="solid">
          <x:bgColor rgb="FFE6D5D2"/>
        </x:patternFill>
      </x:fill>
    </x:dxf>
    <x:dxf>
      <x:font>
        <x:b/>
        <x:color rgb="FF2F5B38"/>
      </x:font>
      <x:fill>
        <x:patternFill patternType="solid">
          <x:bgColor rgb="FFDDEBDD"/>
        </x:patternFill>
      </x:fill>
    </x:dxf>
    <x:dxf>
      <x:font>
        <x:b/>
        <x:color rgb="FF7A5716"/>
      </x:font>
      <x:fill>
        <x:patternFill patternType="solid">
          <x:bgColor rgb="FFF8E8B7"/>
        </x:patternFill>
      </x:fill>
    </x:dxf>
    <x:dxf>
      <x:font>
        <x:b/>
        <x:color rgb="FF8E3027"/>
      </x:font>
      <x:fill>
        <x:patternFill patternType="solid">
          <x:bgColor rgb="FFF2D1CC"/>
        </x:patternFill>
      </x:fill>
    </x:dxf>
    <x:dxf>
      <x:font>
        <x:b/>
        <x:color rgb="FF7F241D"/>
      </x:font>
      <x:fill>
        <x:patternFill patternType="solid">
          <x:bgColor rgb="FFE6D5D2"/>
        </x:patternFill>
      </x:fill>
    </x:dxf>
    <x:dxf>
      <x:font>
        <x:b/>
        <x:color rgb="FF2F5B38"/>
      </x:font>
      <x:fill>
        <x:patternFill patternType="solid">
          <x:bgColor rgb="FFDDEBDD"/>
        </x:patternFill>
      </x:fill>
    </x:dxf>
    <x:dxf>
      <x:font>
        <x:b/>
        <x:color rgb="FF7A5716"/>
      </x:font>
      <x:fill>
        <x:patternFill patternType="solid">
          <x:bgColor rgb="FFF8E8B7"/>
        </x:patternFill>
      </x:fill>
    </x:dxf>
    <x:dxf>
      <x:font>
        <x:b/>
        <x:color rgb="FF8E3027"/>
      </x:font>
      <x:fill>
        <x:patternFill patternType="solid">
          <x:bgColor rgb="FFF2D1CC"/>
        </x:patternFill>
      </x:fill>
    </x:dxf>
    <x:dxf>
      <x:font>
        <x:b/>
        <x:color rgb="FF7F241D"/>
      </x:font>
      <x:fill>
        <x:patternFill patternType="solid">
          <x:bgColor rgb="FFE6D5D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29d4d145ff4b9d" /><Relationship Type="http://schemas.openxmlformats.org/officeDocument/2006/relationships/theme" Target="/xl/theme/theme1.xml" Id="R9add62d84ea64cf8" /><Relationship Type="http://schemas.openxmlformats.org/officeDocument/2006/relationships/sharedStrings" Target="/xl/sharedStrings.xml" Id="R12bedb43de2c4262" /><Relationship Type="http://schemas.openxmlformats.org/officeDocument/2006/relationships/worksheet" Target="/xl/worksheets/sheet1.xml" Id="R0d92384b861c4c1f" /><Relationship Type="http://schemas.openxmlformats.org/officeDocument/2006/relationships/worksheet" Target="/xl/worksheets/sheet2.xml" Id="Reb9d6c67bf064415" /><Relationship Type="http://schemas.openxmlformats.org/officeDocument/2006/relationships/worksheet" Target="/xl/worksheets/sheet3.xml" Id="R89f1aab89acd4198" /><Relationship Type="http://schemas.openxmlformats.org/officeDocument/2006/relationships/worksheet" Target="/xl/worksheets/sheet4.xml" Id="Rc1fb1229ed0c46f0" /><Relationship Type="http://schemas.openxmlformats.org/officeDocument/2006/relationships/worksheet" Target="/xl/worksheets/sheet5.xml" Id="R6443ff2faa2b42d9" /><Relationship Type="http://schemas.openxmlformats.org/officeDocument/2006/relationships/worksheet" Target="/xl/worksheets/sheet6.xml" Id="Re32b84e5ec9a4dfd" /><Relationship Type="http://schemas.openxmlformats.org/officeDocument/2006/relationships/worksheet" Target="/xl/worksheets/sheet7.xml" Id="Rb64b7a8e46bd432a" /><Relationship Type="http://schemas.openxmlformats.org/officeDocument/2006/relationships/worksheet" Target="/xl/worksheets/sheet8.xml" Id="R2d10fbbec3fc4d45" /></Relationships>
</file>

<file path=xl/tables/table1.xml><?xml version="1.0" encoding="utf-8"?>
<x:table xmlns:x="http://schemas.openxmlformats.org/spreadsheetml/2006/main" id="1" name="FL35AssetTable" displayName="FL35AssetTable" ref="A4:P24" headerRowCount="1" totalsRowCount="0" totalsRowShown="0">
  <x:autoFilter ref="A4:P24"/>
  <x:tableColumns count="16">
    <x:tableColumn id="1" name="序号"/>
    <x:tableColumn id="2" name="Asset ID"/>
    <x:tableColumn id="3" name="Canonical Tag"/>
    <x:tableColumn id="4" name="类别"/>
    <x:tableColumn id="5" name="交付物"/>
    <x:tableColumn id="6" name="视图/状态"/>
    <x:tableColumn id="7" name="父参考"/>
    <x:tableColumn id="8" name="候选数"/>
    <x:tableColumn id="9" name="锁定数"/>
    <x:tableColumn id="10" name="规格"/>
    <x:tableColumn id="11" name="优先级"/>
    <x:tableColumn id="12" name="进入条件"/>
    <x:tableColumn id="13" name="文件命名"/>
    <x:tableColumn id="14" name="状态"/>
    <x:tableColumn id="15" name="证据路径"/>
    <x:tableColumn id="16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L35DnaTable" displayName="FL35DnaTable" ref="A4:J24" headerRowCount="1" totalsRowCount="0" totalsRowShown="0">
  <x:autoFilter ref="A4:J24"/>
  <x:tableColumns count="10">
    <x:tableColumn id="1" name="DNA ID"/>
    <x:tableColumn id="2" name="维度"/>
    <x:tableColumn id="3" name="锁定定义"/>
    <x:tableColumn id="4" name="允许变化"/>
    <x:tableColumn id="5" name="禁止变化"/>
    <x:tableColumn id="6" name="人物自身左右规则"/>
    <x:tableColumn id="7" name="验证方法"/>
    <x:tableColumn id="8" name="严重级别"/>
    <x:tableColumn id="9" name="状态"/>
    <x:tableColumn id="10" name="证据路径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L35CostumeTable" displayName="FL35CostumeTable" ref="A4:N9" headerRowCount="1" totalsRowCount="0" totalsRowShown="0">
  <x:autoFilter ref="A4:N9"/>
  <x:tableColumns count="14">
    <x:tableColumn id="1" name="Asset ID"/>
    <x:tableColumn id="2" name="Canonical Tag"/>
    <x:tableColumn id="3" name="状态"/>
    <x:tableColumn id="4" name="交付组件"/>
    <x:tableColumn id="5" name="服装定义"/>
    <x:tableColumn id="6" name="材质"/>
    <x:tableColumn id="7" name="色彩"/>
    <x:tableColumn id="8" name="结构锁点"/>
    <x:tableColumn id="9" name="湿态/磨损锁点"/>
    <x:tableColumn id="10" name="镜头用途"/>
    <x:tableColumn id="11" name="父参考"/>
    <x:tableColumn id="12" name="优先级"/>
    <x:tableColumn id="13" name="制作状态"/>
    <x:tableColumn id="14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L35QaTable" displayName="FL35QaTable" ref="A4:L28" headerRowCount="1" totalsRowCount="0" totalsRowShown="0">
  <x:autoFilter ref="A4:L28"/>
  <x:tableColumns count="12">
    <x:tableColumn id="1" name="Check ID"/>
    <x:tableColumn id="2" name="范围"/>
    <x:tableColumn id="3" name="检查项"/>
    <x:tableColumn id="4" name="通过标准"/>
    <x:tableColumn id="5" name="检查方法"/>
    <x:tableColumn id="6" name="严重级别"/>
    <x:tableColumn id="7" name="阻断对象"/>
    <x:tableColumn id="8" name="来源"/>
    <x:tableColumn id="9" name="状态"/>
    <x:tableColumn id="10" name="证据路径"/>
    <x:tableColumn id="11" name="审核人"/>
    <x:tableColumn id="12" name="复核日期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L35QueueTable" displayName="FL35QueueTable" ref="A4:L16" headerRowCount="1" totalsRowCount="0" totalsRowShown="0">
  <x:autoFilter ref="A4:L16"/>
  <x:tableColumns count="12">
    <x:tableColumn id="1" name="顺序"/>
    <x:tableColumn id="2" name="Task ID"/>
    <x:tableColumn id="3" name="任务"/>
    <x:tableColumn id="4" name="输出"/>
    <x:tableColumn id="5" name="父参考"/>
    <x:tableColumn id="6" name="候选数"/>
    <x:tableColumn id="7" name="保留数"/>
    <x:tableColumn id="8" name="必须先通过"/>
    <x:tableColumn id="9" name="命名"/>
    <x:tableColumn id="10" name="优先级"/>
    <x:tableColumn id="11" name="状态"/>
    <x:tableColumn id="12" name="验收引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L35ShotTable" displayName="FL35ShotTable" ref="A4:K7" headerRowCount="1" totalsRowCount="0" totalsRowShown="0">
  <x:autoFilter ref="A4:K7"/>
  <x:tableColumns count="11">
    <x:tableColumn id="1" name="镜号"/>
    <x:tableColumn id="2" name="时间码"/>
    <x:tableColumn id="3" name="时长(秒)"/>
    <x:tableColumn id="4" name="角色任务"/>
    <x:tableColumn id="5" name="构图/机位"/>
    <x:tableColumn id="6" name="服装状态"/>
    <x:tableColumn id="7" name="人物动作"/>
    <x:tableColumn id="8" name="环境/道具"/>
    <x:tableColumn id="9" name="主要风险"/>
    <x:tableColumn id="10" name="回退方案"/>
    <x:tableColumn id="11" name="必须引用资产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L35SourceTable" displayName="FL35SourceTable" ref="A4:F8" headerRowCount="1" totalsRowCount="0" totalsRowShown="0">
  <x:autoFilter ref="A4:F8"/>
  <x:tableColumns count="6">
    <x:tableColumn id="1" name="Source ID"/>
    <x:tableColumn id="2" name="文件"/>
    <x:tableColumn id="3" name="采用章节/镜头"/>
    <x:tableColumn id="4" name="本台账用途"/>
    <x:tableColumn id="5" name="本地路径"/>
    <x:tableColumn id="6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458da0bb33046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c37caaa628447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d0729c148c249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727cc4b04204b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e1fe14203d1480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718ca2771ae4eb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5e3f9f9d6d944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36" hidden="0" customWidth="1"/>
    <x:col min="4" max="4" width="4" hidden="0" customWidth="1"/>
    <x:col min="5" max="5" width="8" hidden="0" customWidth="1"/>
    <x:col min="6" max="6" width="20" hidden="0" customWidth="1"/>
    <x:col min="7" max="7" width="28" hidden="0" customWidth="1"/>
    <x:col min="8" max="8" width="26" hidden="0" customWidth="1"/>
    <x:col min="9" max="9" width="20" hidden="0" customWidth="1"/>
    <x:col min="10" max="10" width="14" hidden="0" customWidth="1"/>
  </x:cols>
  <x:sheetData>
    <x:row r="1" ht="34" customHeight="1">
      <x:c r="A1" s="3" t="str">
        <x:v>FL35 根身份｜资产与验收台账</x:v>
      </x:c>
      <x:c r="B1" s="3" t="str">
        <x:v>FL35 根身份｜资产与验收台账</x:v>
      </x:c>
      <x:c r="C1" s="3" t="str">
        <x:v>FL35 根身份｜资产与验收台账</x:v>
      </x:c>
      <x:c r="D1" s="3" t="str">
        <x:v>FL35 根身份｜资产与验收台账</x:v>
      </x:c>
      <x:c r="E1" s="3" t="str">
        <x:v>FL35 根身份｜资产与验收台账</x:v>
      </x:c>
      <x:c r="F1" s="3" t="str">
        <x:v>FL35 根身份｜资产与验收台账</x:v>
      </x:c>
      <x:c r="G1" s="3" t="str">
        <x:v>FL35 根身份｜资产与验收台账</x:v>
      </x:c>
      <x:c r="H1" s="3" t="str">
        <x:v>FL35 根身份｜资产与验收台账</x:v>
      </x:c>
      <x:c r="I1" s="3" t="str">
        <x:v>FL35 根身份｜资产与验收台账</x:v>
      </x:c>
      <x:c r="J1" s="3" t="str">
        <x:v>FL35 根身份｜资产与验收台账</x:v>
      </x:c>
    </x:row>
    <x:row r="2" ht="32" customHeight="1">
      <x:c r="A2" s="7" t="str">
        <x:v>唯一身份根：后续 @FL45、@TZG60、@STATUE 只能从 @FL35_ROOT 派生。人物自身左眉尾断点不得镜像；人物闸门未通过前禁止批量制作剧情镜头。</x:v>
      </x:c>
      <x:c r="B2" s="7" t="str">
        <x:v>唯一身份根：后续 @FL45、@TZG60、@STATUE 只能从 @FL35_ROOT 派生。人物自身左眉尾断点不得镜像；人物闸门未通过前禁止批量制作剧情镜头。</x:v>
      </x:c>
      <x:c r="C2" s="7" t="str">
        <x:v>唯一身份根：后续 @FL45、@TZG60、@STATUE 只能从 @FL35_ROOT 派生。人物自身左眉尾断点不得镜像；人物闸门未通过前禁止批量制作剧情镜头。</x:v>
      </x:c>
      <x:c r="D2" s="7" t="str">
        <x:v>唯一身份根：后续 @FL45、@TZG60、@STATUE 只能从 @FL35_ROOT 派生。人物自身左眉尾断点不得镜像；人物闸门未通过前禁止批量制作剧情镜头。</x:v>
      </x:c>
      <x:c r="E2" s="7" t="str">
        <x:v>唯一身份根：后续 @FL45、@TZG60、@STATUE 只能从 @FL35_ROOT 派生。人物自身左眉尾断点不得镜像；人物闸门未通过前禁止批量制作剧情镜头。</x:v>
      </x:c>
      <x:c r="F2" s="7" t="str">
        <x:v>唯一身份根：后续 @FL45、@TZG60、@STATUE 只能从 @FL35_ROOT 派生。人物自身左眉尾断点不得镜像；人物闸门未通过前禁止批量制作剧情镜头。</x:v>
      </x:c>
      <x:c r="G2" s="7" t="str">
        <x:v>唯一身份根：后续 @FL45、@TZG60、@STATUE 只能从 @FL35_ROOT 派生。人物自身左眉尾断点不得镜像；人物闸门未通过前禁止批量制作剧情镜头。</x:v>
      </x:c>
      <x:c r="H2" s="7" t="str">
        <x:v>唯一身份根：后续 @FL45、@TZG60、@STATUE 只能从 @FL35_ROOT 派生。人物自身左眉尾断点不得镜像；人物闸门未通过前禁止批量制作剧情镜头。</x:v>
      </x:c>
      <x:c r="I2" s="7" t="str">
        <x:v>唯一身份根：后续 @FL45、@TZG60、@STATUE 只能从 @FL35_ROOT 派生。人物自身左眉尾断点不得镜像；人物闸门未通过前禁止批量制作剧情镜头。</x:v>
      </x:c>
      <x:c r="J2" s="7" t="str">
        <x:v>唯一身份根：后续 @FL45、@TZG60、@STATUE 只能从 @FL35_ROOT 派生。人物自身左眉尾断点不得镜像；人物闸门未通过前禁止批量制作剧情镜头。</x:v>
      </x:c>
    </x:row>
    <x:row r="4" ht="15" hidden="0" customHeight="1">
      <x:c r="A4" s="20" t="str">
        <x:v>关键指标</x:v>
      </x:c>
      <x:c r="B4" s="20" t="str">
        <x:v>当前值</x:v>
      </x:c>
      <x:c r="C4" s="20" t="str">
        <x:v>说明</x:v>
      </x:c>
      <x:c r="E4" s="22" t="str">
        <x:v>导演锁定规则</x:v>
      </x:c>
      <x:c r="F4" s="22" t="str">
        <x:v>导演锁定规则</x:v>
      </x:c>
      <x:c r="G4" s="22" t="str">
        <x:v>导演锁定规则</x:v>
      </x:c>
      <x:c r="H4" s="22" t="str">
        <x:v>导演锁定规则</x:v>
      </x:c>
      <x:c r="I4" s="22" t="str">
        <x:v>导演锁定规则</x:v>
      </x:c>
      <x:c r="J4" s="22" t="str">
        <x:v>导演锁定规则</x:v>
      </x:c>
    </x:row>
    <x:row r="5" ht="24" hidden="0" customHeight="1">
      <x:c r="A5" s="21" t="str">
        <x:v>资产条目</x:v>
      </x:c>
      <x:c r="B5" s="24" t="n">
        <x:f>COUNTA('01_资产清单'!B5:B40)</x:f>
        <x:v>20</x:v>
      </x:c>
      <x:c r="C5" s="21" t="str">
        <x:v>含根脸、转面、全身、表情、手势、服装与联系表</x:v>
      </x:c>
      <x:c r="E5" s="23" t="str">
        <x:v>1</x:v>
      </x:c>
      <x:c r="F5" s="23" t="str">
        <x:v>唯一根标签</x:v>
      </x:c>
      <x:c r="G5" s="23" t="str">
        <x:v>@FL35_ROOT</x:v>
      </x:c>
      <x:c r="H5" s="23" t="str">
        <x:v>不得另选脸</x:v>
      </x:c>
      <x:c r="I5" s="23" t="str">
        <x:v>父分支继承</x:v>
      </x:c>
      <x:c r="J5" s="23" t="str">
        <x:v>P0</x:v>
      </x:c>
    </x:row>
    <x:row r="6" ht="15" hidden="0" customHeight="1">
      <x:c r="A6" s="21" t="str">
        <x:v>已通过资产</x:v>
      </x:c>
      <x:c r="B6" s="24" t="n">
        <x:f>COUNTIF('01_资产清单'!N5:N40,"已通过")</x:f>
        <x:v>0</x:v>
      </x:c>
      <x:c r="C6" s="21" t="str">
        <x:v>须有证据路径</x:v>
      </x:c>
      <x:c r="E6" s="23" t="str">
        <x:v>2</x:v>
      </x:c>
      <x:c r="F6" s="23" t="str">
        <x:v>左眉断点</x:v>
      </x:c>
      <x:c r="G6" s="23" t="str">
        <x:v>人物自身左眉尾</x:v>
      </x:c>
      <x:c r="H6" s="23" t="str">
        <x:v>正面图位于画面右侧</x:v>
      </x:c>
      <x:c r="I6" s="23" t="str">
        <x:v>禁止水平翻转</x:v>
      </x:c>
      <x:c r="J6" s="23" t="str">
        <x:v>硬阻断</x:v>
      </x:c>
    </x:row>
    <x:row r="7" ht="21.600000381469727" hidden="0" customHeight="1">
      <x:c r="A7" s="21" t="str">
        <x:v>硬阻断未通过</x:v>
      </x:c>
      <x:c r="B7" s="24" t="n">
        <x:f>COUNTIFS('04_验收表'!F5:F60,"硬阻断",'04_验收表'!I5:I60,"&lt;&gt;已通过")</x:f>
        <x:v>21</x:v>
      </x:c>
      <x:c r="C7" s="21" t="str">
        <x:v>任一项未通过都阻断年龄派生</x:v>
      </x:c>
      <x:c r="E7" s="23" t="str">
        <x:v>3</x:v>
      </x:c>
      <x:c r="F7" s="23" t="str">
        <x:v>骨相锚点</x:v>
      </x:c>
      <x:c r="G7" s="23" t="str">
        <x:v>长椭圆脸 / 直鼻梁圆钝鼻尖 / 薄唇 / 窄下颌</x:v>
      </x:c>
      <x:c r="H7" s="23" t="str">
        <x:v>年龄派生不得改骨架</x:v>
      </x:c>
      <x:c r="I7" s="23" t="str">
        <x:v>叠图校准</x:v>
      </x:c>
      <x:c r="J7" s="23" t="str">
        <x:v>硬阻断</x:v>
      </x:c>
    </x:row>
    <x:row r="8" ht="15" hidden="0" customHeight="1">
      <x:c r="A8" s="21" t="str">
        <x:v>首批任务</x:v>
      </x:c>
      <x:c r="B8" s="24" t="n">
        <x:f>COUNTA('05_首批队列'!B5:B30)</x:f>
        <x:v>12</x:v>
      </x:c>
      <x:c r="C8" s="21" t="str">
        <x:v>按依赖顺序执行</x:v>
      </x:c>
      <x:c r="E8" s="23" t="str">
        <x:v>4</x:v>
      </x:c>
      <x:c r="F8" s="23" t="str">
        <x:v>服装方向</x:v>
      </x:c>
      <x:c r="G8" s="23" t="str">
        <x:v>右衽：人物左襟压人物右襟</x:v>
      </x:c>
      <x:c r="H8" s="23" t="str">
        <x:v>反打不自动镜像</x:v>
      </x:c>
      <x:c r="I8" s="23" t="str">
        <x:v>记录衣襟方向</x:v>
      </x:c>
      <x:c r="J8" s="23" t="str">
        <x:v>硬阻断</x:v>
      </x:c>
    </x:row>
    <x:row r="9" ht="15" hidden="0" customHeight="1">
      <x:c r="A9" s="21" t="str">
        <x:v>适配镜头</x:v>
      </x:c>
      <x:c r="B9" s="24" t="n">
        <x:f>COUNTA('06_镜头适配'!A5:A20)</x:f>
        <x:v>3</x:v>
      </x:c>
      <x:c r="C9" s="21" t="str">
        <x:v>仅 S02-04 至 S02-06</x:v>
      </x:c>
      <x:c r="E9" s="23" t="str">
        <x:v>5</x:v>
      </x:c>
      <x:c r="F9" s="23" t="str">
        <x:v>雨戏连续</x:v>
      </x:c>
      <x:c r="G9" s="23" t="str">
        <x:v>右肩披肩更深、衣摆泥点固定</x:v>
      </x:c>
      <x:c r="H9" s="23" t="str">
        <x:v>只改变湿度不换款</x:v>
      </x:c>
      <x:c r="I9" s="23" t="str">
        <x:v>状态 ID 锁定</x:v>
      </x:c>
      <x:c r="J9" s="23" t="str">
        <x:v>P0</x:v>
      </x:c>
    </x:row>
    <x:row r="10" ht="21.600000381469727" hidden="0" customHeight="1">
      <x:c r="A10" s="21" t="str">
        <x:v>FL35 身份闸门</x:v>
      </x:c>
      <x:c r="B10" s="21" t="str">
        <x:f>IF(AND(B5=B6,B7=0),"已通过","未通过")</x:f>
        <x:v>未通过</x:v>
      </x:c>
      <x:c r="C10" s="21" t="str">
        <x:v>通过后才允许父分支派生 FL45</x:v>
      </x:c>
      <x:c r="E10" s="23" t="str">
        <x:v>6</x:v>
      </x:c>
      <x:c r="F10" s="23" t="str">
        <x:v>表演基线</x:v>
      </x:c>
      <x:c r="G10" s="23" t="str">
        <x:v>先观察后判断；停顿、抬眼、收下巴、平静呼吸</x:v>
      </x:c>
      <x:c r="H10" s="23" t="str">
        <x:v>无英雄式大动作</x:v>
      </x:c>
      <x:c r="I10" s="23" t="str">
        <x:v>镜头适配</x:v>
      </x:c>
      <x:c r="J10" s="23" t="str">
        <x:v>P1</x:v>
      </x:c>
    </x:row>
  </x:sheetData>
  <x:mergeCells>
    <x:mergeCell ref="A1:J1"/>
    <x:mergeCell ref="A2:J2"/>
    <x:mergeCell ref="E4:J4"/>
  </x:mergeCells>
  <x:conditionalFormatting sqref="B10:B10">
    <x:cfRule type="containsText" dxfId="0" priority="1" operator="containsText" text="已通过"/>
    <x:cfRule type="containsText" dxfId="1" priority="2" operator="containsText" text="未通过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7" hidden="0" customWidth="1"/>
    <x:col min="3" max="3" width="23" hidden="0" customWidth="1"/>
    <x:col min="4" max="4" width="12" hidden="0" customWidth="1"/>
    <x:col min="5" max="5" width="24" hidden="0" customWidth="1"/>
    <x:col min="6" max="6" width="23" hidden="0" customWidth="1"/>
    <x:col min="7" max="7" width="22" hidden="0" customWidth="1"/>
    <x:col min="8" max="8" width="9" hidden="0" customWidth="1"/>
    <x:col min="9" max="9" width="9" hidden="0" customWidth="1"/>
    <x:col min="10" max="10" width="25" hidden="0" customWidth="1"/>
    <x:col min="11" max="11" width="9" hidden="0" customWidth="1"/>
    <x:col min="12" max="12" width="20" hidden="0" customWidth="1"/>
    <x:col min="13" max="13" width="29" hidden="0" customWidth="1"/>
    <x:col min="14" max="14" width="11" hidden="0" customWidth="1"/>
    <x:col min="15" max="15" width="24" hidden="0" customWidth="1"/>
    <x:col min="16" max="16" width="35" hidden="0" customWidth="1"/>
  </x:cols>
  <x:sheetData>
    <x:row r="1" ht="34" customHeight="1">
      <x:c r="A1" s="3" t="str">
        <x:v>FL35 根身份资产清单</x:v>
      </x:c>
      <x:c r="B1" s="3" t="str">
        <x:v>FL35 根身份资产清单</x:v>
      </x:c>
      <x:c r="C1" s="3" t="str">
        <x:v>FL35 根身份资产清单</x:v>
      </x:c>
      <x:c r="D1" s="3" t="str">
        <x:v>FL35 根身份资产清单</x:v>
      </x:c>
      <x:c r="E1" s="3" t="str">
        <x:v>FL35 根身份资产清单</x:v>
      </x:c>
      <x:c r="F1" s="3" t="str">
        <x:v>FL35 根身份资产清单</x:v>
      </x:c>
      <x:c r="G1" s="3" t="str">
        <x:v>FL35 根身份资产清单</x:v>
      </x:c>
      <x:c r="H1" s="3" t="str">
        <x:v>FL35 根身份资产清单</x:v>
      </x:c>
      <x:c r="I1" s="3" t="str">
        <x:v>FL35 根身份资产清单</x:v>
      </x:c>
      <x:c r="J1" s="3" t="str">
        <x:v>FL35 根身份资产清单</x:v>
      </x:c>
      <x:c r="K1" s="3" t="str">
        <x:v>FL35 根身份资产清单</x:v>
      </x:c>
      <x:c r="L1" s="3" t="str">
        <x:v>FL35 根身份资产清单</x:v>
      </x:c>
      <x:c r="M1" s="3" t="str">
        <x:v>FL35 根身份资产清单</x:v>
      </x:c>
      <x:c r="N1" s="3" t="str">
        <x:v>FL35 根身份资产清单</x:v>
      </x:c>
      <x:c r="O1" s="3" t="str">
        <x:v>FL35 根身份资产清单</x:v>
      </x:c>
      <x:c r="P1" s="3" t="str">
        <x:v>FL35 根身份资产清单</x:v>
      </x:c>
    </x:row>
    <x:row r="2" ht="32" customHeight="1">
      <x:c r="A2" s="7" t="str">
        <x:v>状态列可编辑；所有派生资产必须保留 parent=@FL35_ROOT 或已批准服装状态，禁止用水平镜像补齐人物左右视图。</x:v>
      </x:c>
      <x:c r="B2" s="7" t="str">
        <x:v>状态列可编辑；所有派生资产必须保留 parent=@FL35_ROOT 或已批准服装状态，禁止用水平镜像补齐人物左右视图。</x:v>
      </x:c>
      <x:c r="C2" s="7" t="str">
        <x:v>状态列可编辑；所有派生资产必须保留 parent=@FL35_ROOT 或已批准服装状态，禁止用水平镜像补齐人物左右视图。</x:v>
      </x:c>
      <x:c r="D2" s="7" t="str">
        <x:v>状态列可编辑；所有派生资产必须保留 parent=@FL35_ROOT 或已批准服装状态，禁止用水平镜像补齐人物左右视图。</x:v>
      </x:c>
      <x:c r="E2" s="7" t="str">
        <x:v>状态列可编辑；所有派生资产必须保留 parent=@FL35_ROOT 或已批准服装状态，禁止用水平镜像补齐人物左右视图。</x:v>
      </x:c>
      <x:c r="F2" s="7" t="str">
        <x:v>状态列可编辑；所有派生资产必须保留 parent=@FL35_ROOT 或已批准服装状态，禁止用水平镜像补齐人物左右视图。</x:v>
      </x:c>
      <x:c r="G2" s="7" t="str">
        <x:v>状态列可编辑；所有派生资产必须保留 parent=@FL35_ROOT 或已批准服装状态，禁止用水平镜像补齐人物左右视图。</x:v>
      </x:c>
      <x:c r="H2" s="7" t="str">
        <x:v>状态列可编辑；所有派生资产必须保留 parent=@FL35_ROOT 或已批准服装状态，禁止用水平镜像补齐人物左右视图。</x:v>
      </x:c>
      <x:c r="I2" s="7" t="str">
        <x:v>状态列可编辑；所有派生资产必须保留 parent=@FL35_ROOT 或已批准服装状态，禁止用水平镜像补齐人物左右视图。</x:v>
      </x:c>
      <x:c r="J2" s="7" t="str">
        <x:v>状态列可编辑；所有派生资产必须保留 parent=@FL35_ROOT 或已批准服装状态，禁止用水平镜像补齐人物左右视图。</x:v>
      </x:c>
      <x:c r="K2" s="7" t="str">
        <x:v>状态列可编辑；所有派生资产必须保留 parent=@FL35_ROOT 或已批准服装状态，禁止用水平镜像补齐人物左右视图。</x:v>
      </x:c>
      <x:c r="L2" s="7" t="str">
        <x:v>状态列可编辑；所有派生资产必须保留 parent=@FL35_ROOT 或已批准服装状态，禁止用水平镜像补齐人物左右视图。</x:v>
      </x:c>
      <x:c r="M2" s="7" t="str">
        <x:v>状态列可编辑；所有派生资产必须保留 parent=@FL35_ROOT 或已批准服装状态，禁止用水平镜像补齐人物左右视图。</x:v>
      </x:c>
      <x:c r="N2" s="7" t="str">
        <x:v>状态列可编辑；所有派生资产必须保留 parent=@FL35_ROOT 或已批准服装状态，禁止用水平镜像补齐人物左右视图。</x:v>
      </x:c>
      <x:c r="O2" s="7" t="str">
        <x:v>状态列可编辑；所有派生资产必须保留 parent=@FL35_ROOT 或已批准服装状态，禁止用水平镜像补齐人物左右视图。</x:v>
      </x:c>
      <x:c r="P2" s="7" t="str">
        <x:v>状态列可编辑；所有派生资产必须保留 parent=@FL35_ROOT 或已批准服装状态，禁止用水平镜像补齐人物左右视图。</x:v>
      </x:c>
    </x:row>
    <x:row r="4" ht="34" hidden="0" customHeight="1">
      <x:c r="A4" s="33" t="str">
        <x:v>序号</x:v>
      </x:c>
      <x:c r="B4" s="34" t="str">
        <x:v>Asset ID</x:v>
      </x:c>
      <x:c r="C4" s="34" t="str">
        <x:v>Canonical Tag</x:v>
      </x:c>
      <x:c r="D4" s="34" t="str">
        <x:v>类别</x:v>
      </x:c>
      <x:c r="E4" s="34" t="str">
        <x:v>交付物</x:v>
      </x:c>
      <x:c r="F4" s="34" t="str">
        <x:v>视图/状态</x:v>
      </x:c>
      <x:c r="G4" s="34" t="str">
        <x:v>父参考</x:v>
      </x:c>
      <x:c r="H4" s="34" t="str">
        <x:v>候选数</x:v>
      </x:c>
      <x:c r="I4" s="34" t="str">
        <x:v>锁定数</x:v>
      </x:c>
      <x:c r="J4" s="34" t="str">
        <x:v>规格</x:v>
      </x:c>
      <x:c r="K4" s="34" t="str">
        <x:v>优先级</x:v>
      </x:c>
      <x:c r="L4" s="34" t="str">
        <x:v>进入条件</x:v>
      </x:c>
      <x:c r="M4" s="34" t="str">
        <x:v>文件命名</x:v>
      </x:c>
      <x:c r="N4" s="34" t="str">
        <x:v>状态</x:v>
      </x:c>
      <x:c r="O4" s="34" t="str">
        <x:v>证据路径</x:v>
      </x:c>
      <x:c r="P4" s="35" t="str">
        <x:v>备注</x:v>
      </x:c>
    </x:row>
    <x:row r="5" ht="15" hidden="0" customHeight="1">
      <x:c r="A5" s="39" t="n">
        <x:v>1</x:v>
      </x:c>
      <x:c r="B5" s="27" t="str">
        <x:v>FL35-ROOT-001</x:v>
      </x:c>
      <x:c r="C5" s="27" t="str">
        <x:v>@FL35_ROOT</x:v>
      </x:c>
      <x:c r="D5" s="27" t="str">
        <x:v>根身份</x:v>
      </x:c>
      <x:c r="E5" s="27" t="str">
        <x:v>中性正脸根图</x:v>
      </x:c>
      <x:c r="F5" s="27" t="str">
        <x:v>正面 / 中性 / 均匀软光</x:v>
      </x:c>
      <x:c r="G5" s="27" t="str">
        <x:v>无</x:v>
      </x:c>
      <x:c r="H5" s="39" t="n">
        <x:v>8</x:v>
      </x:c>
      <x:c r="I5" s="39" t="n">
        <x:v>1</x:v>
      </x:c>
      <x:c r="J5" s="39" t="str">
        <x:v>头肩像；暖灰背景；无戏剧光</x:v>
      </x:c>
      <x:c r="K5" s="39" t="str">
        <x:v>P0</x:v>
      </x:c>
      <x:c r="L5" s="39" t="str">
        <x:v>无</x:v>
      </x:c>
      <x:c r="M5" s="39" t="str">
        <x:v>FL35_ROOT_FACE_FRONT_v###</x:v>
      </x:c>
      <x:c r="N5" s="39" t="str">
        <x:v>未开始</x:v>
      </x:c>
      <x:c r="O5" s="27" t="str"/>
      <x:c r="P5" s="27" t="str">
        <x:v>后续所有视图和年龄的唯一父参考</x:v>
      </x:c>
    </x:row>
    <x:row r="6" ht="15" hidden="0" customHeight="1">
      <x:c r="A6" s="39" t="n">
        <x:v>2</x:v>
      </x:c>
      <x:c r="B6" s="27" t="str">
        <x:v>FL35-FACE-3QL</x:v>
      </x:c>
      <x:c r="C6" s="27" t="str">
        <x:v>@FL35_FACE_3Q_L</x:v>
      </x:c>
      <x:c r="D6" s="27" t="str">
        <x:v>头部转面</x:v>
      </x:c>
      <x:c r="E6" s="27" t="str">
        <x:v>人物左 45°</x:v>
      </x:c>
      <x:c r="F6" s="27" t="str">
        <x:v>人物向左转 45°</x:v>
      </x:c>
      <x:c r="G6" s="27" t="str">
        <x:v>@FL35_ROOT</x:v>
      </x:c>
      <x:c r="H6" s="39" t="n">
        <x:v>4</x:v>
      </x:c>
      <x:c r="I6" s="39" t="n">
        <x:v>1</x:v>
      </x:c>
      <x:c r="J6" s="39" t="str">
        <x:v>同尺度 / 同光 / 同焦段</x:v>
      </x:c>
      <x:c r="K6" s="39" t="str">
        <x:v>P0</x:v>
      </x:c>
      <x:c r="L6" s="39" t="str">
        <x:v>根图通过</x:v>
      </x:c>
      <x:c r="M6" s="39" t="str">
        <x:v>FL35_FACE_3Q_L_v###</x:v>
      </x:c>
      <x:c r="N6" s="39" t="str">
        <x:v>未开始</x:v>
      </x:c>
      <x:c r="O6" s="27" t="str"/>
      <x:c r="P6" s="27" t="str">
        <x:v>左眉尾断点仍需可追踪</x:v>
      </x:c>
    </x:row>
    <x:row r="7" ht="15" hidden="0" customHeight="1">
      <x:c r="A7" s="39" t="n">
        <x:v>3</x:v>
      </x:c>
      <x:c r="B7" s="27" t="str">
        <x:v>FL35-FACE-3QR</x:v>
      </x:c>
      <x:c r="C7" s="27" t="str">
        <x:v>@FL35_FACE_3Q_R</x:v>
      </x:c>
      <x:c r="D7" s="27" t="str">
        <x:v>头部转面</x:v>
      </x:c>
      <x:c r="E7" s="27" t="str">
        <x:v>人物右 45°</x:v>
      </x:c>
      <x:c r="F7" s="27" t="str">
        <x:v>人物向右转 45°</x:v>
      </x:c>
      <x:c r="G7" s="27" t="str">
        <x:v>@FL35_ROOT</x:v>
      </x:c>
      <x:c r="H7" s="39" t="n">
        <x:v>4</x:v>
      </x:c>
      <x:c r="I7" s="39" t="n">
        <x:v>1</x:v>
      </x:c>
      <x:c r="J7" s="39" t="str">
        <x:v>同尺度 / 同光 / 同焦段</x:v>
      </x:c>
      <x:c r="K7" s="39" t="str">
        <x:v>P0</x:v>
      </x:c>
      <x:c r="L7" s="39" t="str">
        <x:v>根图通过</x:v>
      </x:c>
      <x:c r="M7" s="39" t="str">
        <x:v>FL35_FACE_3Q_R_v###</x:v>
      </x:c>
      <x:c r="N7" s="39" t="str">
        <x:v>未开始</x:v>
      </x:c>
      <x:c r="O7" s="27" t="str"/>
      <x:c r="P7" s="27" t="str">
        <x:v>禁止用镜像复制左 45°</x:v>
      </x:c>
    </x:row>
    <x:row r="8" ht="15" hidden="0" customHeight="1">
      <x:c r="A8" s="39" t="n">
        <x:v>4</x:v>
      </x:c>
      <x:c r="B8" s="27" t="str">
        <x:v>FL35-FACE-PL</x:v>
      </x:c>
      <x:c r="C8" s="27" t="str">
        <x:v>@FL35_FACE_PROFILE_L</x:v>
      </x:c>
      <x:c r="D8" s="27" t="str">
        <x:v>头部转面</x:v>
      </x:c>
      <x:c r="E8" s="27" t="str">
        <x:v>人物左侧面</x:v>
      </x:c>
      <x:c r="F8" s="27" t="str">
        <x:v>左侧面 90°</x:v>
      </x:c>
      <x:c r="G8" s="27" t="str">
        <x:v>@FL35_ROOT</x:v>
      </x:c>
      <x:c r="H8" s="39" t="n">
        <x:v>4</x:v>
      </x:c>
      <x:c r="I8" s="39" t="n">
        <x:v>1</x:v>
      </x:c>
      <x:c r="J8" s="39" t="str">
        <x:v>耳、鼻、下颌线清楚</x:v>
      </x:c>
      <x:c r="K8" s="39" t="str">
        <x:v>P0</x:v>
      </x:c>
      <x:c r="L8" s="39" t="str">
        <x:v>根图通过</x:v>
      </x:c>
      <x:c r="M8" s="39" t="str">
        <x:v>FL35_FACE_PROFILE_L_v###</x:v>
      </x:c>
      <x:c r="N8" s="39" t="str">
        <x:v>未开始</x:v>
      </x:c>
      <x:c r="O8" s="27" t="str"/>
      <x:c r="P8" s="27" t="str">
        <x:v>侧面验证圆钝鼻尖与窄下颌</x:v>
      </x:c>
    </x:row>
    <x:row r="9" ht="15" hidden="0" customHeight="1">
      <x:c r="A9" s="39" t="n">
        <x:v>5</x:v>
      </x:c>
      <x:c r="B9" s="27" t="str">
        <x:v>FL35-FACE-PR</x:v>
      </x:c>
      <x:c r="C9" s="27" t="str">
        <x:v>@FL35_FACE_PROFILE_R</x:v>
      </x:c>
      <x:c r="D9" s="27" t="str">
        <x:v>头部转面</x:v>
      </x:c>
      <x:c r="E9" s="27" t="str">
        <x:v>人物右侧面</x:v>
      </x:c>
      <x:c r="F9" s="27" t="str">
        <x:v>右侧面 90°</x:v>
      </x:c>
      <x:c r="G9" s="27" t="str">
        <x:v>@FL35_ROOT</x:v>
      </x:c>
      <x:c r="H9" s="39" t="n">
        <x:v>4</x:v>
      </x:c>
      <x:c r="I9" s="39" t="n">
        <x:v>1</x:v>
      </x:c>
      <x:c r="J9" s="39" t="str">
        <x:v>耳、鼻、下颌线清楚</x:v>
      </x:c>
      <x:c r="K9" s="39" t="str">
        <x:v>P0</x:v>
      </x:c>
      <x:c r="L9" s="39" t="str">
        <x:v>根图通过</x:v>
      </x:c>
      <x:c r="M9" s="39" t="str">
        <x:v>FL35_FACE_PROFILE_R_v###</x:v>
      </x:c>
      <x:c r="N9" s="39" t="str">
        <x:v>未开始</x:v>
      </x:c>
      <x:c r="O9" s="27" t="str"/>
      <x:c r="P9" s="27" t="str">
        <x:v>不得水平翻转左侧面</x:v>
      </x:c>
    </x:row>
    <x:row r="10" ht="15" hidden="0" customHeight="1">
      <x:c r="A10" s="39" t="n">
        <x:v>6</x:v>
      </x:c>
      <x:c r="B10" s="27" t="str">
        <x:v>FL35-HAIR-BACK</x:v>
      </x:c>
      <x:c r="C10" s="27" t="str">
        <x:v>@FL35_HAIR_BACK</x:v>
      </x:c>
      <x:c r="D10" s="27" t="str">
        <x:v>发型</x:v>
      </x:c>
      <x:c r="E10" s="27" t="str">
        <x:v>背面发髻母版</x:v>
      </x:c>
      <x:c r="F10" s="27" t="str">
        <x:v>后脑 / 高髻 / 木簪</x:v>
      </x:c>
      <x:c r="G10" s="27" t="str">
        <x:v>@FL35_ROOT</x:v>
      </x:c>
      <x:c r="H10" s="39" t="n">
        <x:v>4</x:v>
      </x:c>
      <x:c r="I10" s="39" t="n">
        <x:v>1</x:v>
      </x:c>
      <x:c r="J10" s="39" t="str">
        <x:v>头肩背面；暖灰背景</x:v>
      </x:c>
      <x:c r="K10" s="39" t="str">
        <x:v>P0</x:v>
      </x:c>
      <x:c r="L10" s="39" t="str">
        <x:v>根图通过</x:v>
      </x:c>
      <x:c r="M10" s="39" t="str">
        <x:v>FL35_HAIR_BACK_v###</x:v>
      </x:c>
      <x:c r="N10" s="39" t="str">
        <x:v>未开始</x:v>
      </x:c>
      <x:c r="O10" s="27" t="str"/>
      <x:c r="P10" s="27" t="str">
        <x:v>木簪颜色、穿插方向、发髻高度固定</x:v>
      </x:c>
    </x:row>
    <x:row r="11" ht="15" hidden="0" customHeight="1">
      <x:c r="A11" s="39" t="n">
        <x:v>7</x:v>
      </x:c>
      <x:c r="B11" s="27" t="str">
        <x:v>FL35-BODY-F</x:v>
      </x:c>
      <x:c r="C11" s="27" t="str">
        <x:v>@FL35_BODY_FRONT</x:v>
      </x:c>
      <x:c r="D11" s="27" t="str">
        <x:v>全身</x:v>
      </x:c>
      <x:c r="E11" s="27" t="str">
        <x:v>全身正面</x:v>
      </x:c>
      <x:c r="F11" s="27" t="str">
        <x:v>站姿 / 放松双臂</x:v>
      </x:c>
      <x:c r="G11" s="27" t="str">
        <x:v>@FL35_ROOT</x:v>
      </x:c>
      <x:c r="H11" s="39" t="n">
        <x:v>4</x:v>
      </x:c>
      <x:c r="I11" s="39" t="n">
        <x:v>1</x:v>
      </x:c>
      <x:c r="J11" s="39" t="str">
        <x:v>约178cm；完整鞋、下裳</x:v>
      </x:c>
      <x:c r="K11" s="39" t="str">
        <x:v>P0</x:v>
      </x:c>
      <x:c r="L11" s="39" t="str">
        <x:v>根图+干态服装</x:v>
      </x:c>
      <x:c r="M11" s="39" t="str">
        <x:v>FL35_BODY_FRONT_v###</x:v>
      </x:c>
      <x:c r="N11" s="39" t="str">
        <x:v>未开始</x:v>
      </x:c>
      <x:c r="O11" s="27" t="str"/>
      <x:c r="P11" s="27" t="str">
        <x:v>肩线平直、重心稳定</x:v>
      </x:c>
    </x:row>
    <x:row r="12" ht="15" hidden="0" customHeight="1">
      <x:c r="A12" s="39" t="n">
        <x:v>8</x:v>
      </x:c>
      <x:c r="B12" s="27" t="str">
        <x:v>FL35-BODY-SL</x:v>
      </x:c>
      <x:c r="C12" s="27" t="str">
        <x:v>@FL35_BODY_SIDE_L</x:v>
      </x:c>
      <x:c r="D12" s="27" t="str">
        <x:v>全身</x:v>
      </x:c>
      <x:c r="E12" s="27" t="str">
        <x:v>全身左侧</x:v>
      </x:c>
      <x:c r="F12" s="27" t="str">
        <x:v>人物左侧全身</x:v>
      </x:c>
      <x:c r="G12" s="27" t="str">
        <x:v>@FL35_ROOT</x:v>
      </x:c>
      <x:c r="H12" s="39" t="n">
        <x:v>4</x:v>
      </x:c>
      <x:c r="I12" s="39" t="n">
        <x:v>1</x:v>
      </x:c>
      <x:c r="J12" s="39" t="str">
        <x:v>完整头脚；同一鞋履</x:v>
      </x:c>
      <x:c r="K12" s="39" t="str">
        <x:v>P1</x:v>
      </x:c>
      <x:c r="L12" s="39" t="str">
        <x:v>全身正面通过</x:v>
      </x:c>
      <x:c r="M12" s="39" t="str">
        <x:v>FL35_BODY_SIDE_L_v###</x:v>
      </x:c>
      <x:c r="N12" s="39" t="str">
        <x:v>未开始</x:v>
      </x:c>
      <x:c r="O12" s="27" t="str"/>
      <x:c r="P12" s="27" t="str">
        <x:v>不以镜像代替</x:v>
      </x:c>
    </x:row>
    <x:row r="13" ht="15" hidden="0" customHeight="1">
      <x:c r="A13" s="39" t="n">
        <x:v>9</x:v>
      </x:c>
      <x:c r="B13" s="27" t="str">
        <x:v>FL35-BODY-SR</x:v>
      </x:c>
      <x:c r="C13" s="27" t="str">
        <x:v>@FL35_BODY_SIDE_R</x:v>
      </x:c>
      <x:c r="D13" s="27" t="str">
        <x:v>全身</x:v>
      </x:c>
      <x:c r="E13" s="27" t="str">
        <x:v>全身右侧</x:v>
      </x:c>
      <x:c r="F13" s="27" t="str">
        <x:v>人物右侧全身</x:v>
      </x:c>
      <x:c r="G13" s="27" t="str">
        <x:v>@FL35_ROOT</x:v>
      </x:c>
      <x:c r="H13" s="39" t="n">
        <x:v>4</x:v>
      </x:c>
      <x:c r="I13" s="39" t="n">
        <x:v>1</x:v>
      </x:c>
      <x:c r="J13" s="39" t="str">
        <x:v>完整头脚；同一鞋履</x:v>
      </x:c>
      <x:c r="K13" s="39" t="str">
        <x:v>P1</x:v>
      </x:c>
      <x:c r="L13" s="39" t="str">
        <x:v>全身正面通过</x:v>
      </x:c>
      <x:c r="M13" s="39" t="str">
        <x:v>FL35_BODY_SIDE_R_v###</x:v>
      </x:c>
      <x:c r="N13" s="39" t="str">
        <x:v>未开始</x:v>
      </x:c>
      <x:c r="O13" s="27" t="str"/>
      <x:c r="P13" s="27" t="str">
        <x:v>不以镜像代替</x:v>
      </x:c>
    </x:row>
    <x:row r="14" ht="15" hidden="0" customHeight="1">
      <x:c r="A14" s="39" t="n">
        <x:v>10</x:v>
      </x:c>
      <x:c r="B14" s="27" t="str">
        <x:v>FL35-BODY-B</x:v>
      </x:c>
      <x:c r="C14" s="27" t="str">
        <x:v>@FL35_BODY_BACK</x:v>
      </x:c>
      <x:c r="D14" s="27" t="str">
        <x:v>全身</x:v>
      </x:c>
      <x:c r="E14" s="27" t="str">
        <x:v>全身背面</x:v>
      </x:c>
      <x:c r="F14" s="27" t="str">
        <x:v>背面 / 衣摆 / 发髻</x:v>
      </x:c>
      <x:c r="G14" s="27" t="str">
        <x:v>@FL35_ROOT</x:v>
      </x:c>
      <x:c r="H14" s="39" t="n">
        <x:v>4</x:v>
      </x:c>
      <x:c r="I14" s="39" t="n">
        <x:v>1</x:v>
      </x:c>
      <x:c r="J14" s="39" t="str">
        <x:v>完整头脚；腰带结可见</x:v>
      </x:c>
      <x:c r="K14" s="39" t="str">
        <x:v>P1</x:v>
      </x:c>
      <x:c r="L14" s="39" t="str">
        <x:v>全身正面通过</x:v>
      </x:c>
      <x:c r="M14" s="39" t="str">
        <x:v>FL35_BODY_BACK_v###</x:v>
      </x:c>
      <x:c r="N14" s="39" t="str">
        <x:v>未开始</x:v>
      </x:c>
      <x:c r="O14" s="27" t="str"/>
      <x:c r="P14" s="27" t="str">
        <x:v>背面发髻与 @FL35_HAIR_BACK 一致</x:v>
      </x:c>
    </x:row>
    <x:row r="15" ht="15" hidden="0" customHeight="1">
      <x:c r="A15" s="39" t="n">
        <x:v>11</x:v>
      </x:c>
      <x:c r="B15" s="27" t="str">
        <x:v>FL35-EXP-OBS</x:v>
      </x:c>
      <x:c r="C15" s="27" t="str">
        <x:v>@FL35_EXP_OBSERVE</x:v>
      </x:c>
      <x:c r="D15" s="27" t="str">
        <x:v>表情</x:v>
      </x:c>
      <x:c r="E15" s="27" t="str">
        <x:v>观察状态</x:v>
      </x:c>
      <x:c r="F15" s="27" t="str">
        <x:v>眼神先观察后判断</x:v>
      </x:c>
      <x:c r="G15" s="27" t="str">
        <x:v>@FL35_ROOT</x:v>
      </x:c>
      <x:c r="H15" s="39" t="n">
        <x:v>4</x:v>
      </x:c>
      <x:c r="I15" s="39" t="n">
        <x:v>1</x:v>
      </x:c>
      <x:c r="J15" s="39" t="str">
        <x:v>头肩；无强皱眉</x:v>
      </x:c>
      <x:c r="K15" s="39" t="str">
        <x:v>P1</x:v>
      </x:c>
      <x:c r="L15" s="39" t="str">
        <x:v>根图通过</x:v>
      </x:c>
      <x:c r="M15" s="39" t="str">
        <x:v>FL35_EXP_OBSERVE_v###</x:v>
      </x:c>
      <x:c r="N15" s="39" t="str">
        <x:v>未开始</x:v>
      </x:c>
      <x:c r="O15" s="27" t="str"/>
      <x:c r="P15" s="27" t="str">
        <x:v>嘴部保持放松</x:v>
      </x:c>
    </x:row>
    <x:row r="16" ht="15" hidden="0" customHeight="1">
      <x:c r="A16" s="39" t="n">
        <x:v>12</x:v>
      </x:c>
      <x:c r="B16" s="27" t="str">
        <x:v>FL35-EXP-EYE</x:v>
      </x:c>
      <x:c r="C16" s="27" t="str">
        <x:v>@FL35_EXP_EYES_UP</x:v>
      </x:c>
      <x:c r="D16" s="27" t="str">
        <x:v>表情</x:v>
      </x:c>
      <x:c r="E16" s="27" t="str">
        <x:v>轻微抬眼</x:v>
      </x:c>
      <x:c r="F16" s="27" t="str">
        <x:v>只动眼神和少量下巴</x:v>
      </x:c>
      <x:c r="G16" s="27" t="str">
        <x:v>@FL35_ROOT</x:v>
      </x:c>
      <x:c r="H16" s="39" t="n">
        <x:v>4</x:v>
      </x:c>
      <x:c r="I16" s="39" t="n">
        <x:v>1</x:v>
      </x:c>
      <x:c r="J16" s="39" t="str">
        <x:v>头肩；同光线</x:v>
      </x:c>
      <x:c r="K16" s="39" t="str">
        <x:v>P1</x:v>
      </x:c>
      <x:c r="L16" s="39" t="str">
        <x:v>观察状态通过</x:v>
      </x:c>
      <x:c r="M16" s="39" t="str">
        <x:v>FL35_EXP_EYES_UP_v###</x:v>
      </x:c>
      <x:c r="N16" s="39" t="str">
        <x:v>未开始</x:v>
      </x:c>
      <x:c r="O16" s="27" t="str"/>
      <x:c r="P16" s="27" t="str">
        <x:v>服务 S02-04 / S02-06</x:v>
      </x:c>
    </x:row>
    <x:row r="17" ht="15" hidden="0" customHeight="1">
      <x:c r="A17" s="39" t="n">
        <x:v>13</x:v>
      </x:c>
      <x:c r="B17" s="27" t="str">
        <x:v>FL35-EXP-CHIN</x:v>
      </x:c>
      <x:c r="C17" s="27" t="str">
        <x:v>@FL35_EXP_CHIN_IN</x:v>
      </x:c>
      <x:c r="D17" s="27" t="str">
        <x:v>表情</x:v>
      </x:c>
      <x:c r="E17" s="27" t="str">
        <x:v>收下巴</x:v>
      </x:c>
      <x:c r="F17" s="27" t="str">
        <x:v>克制 / 平静呼吸</x:v>
      </x:c>
      <x:c r="G17" s="27" t="str">
        <x:v>@FL35_ROOT</x:v>
      </x:c>
      <x:c r="H17" s="39" t="n">
        <x:v>4</x:v>
      </x:c>
      <x:c r="I17" s="39" t="n">
        <x:v>1</x:v>
      </x:c>
      <x:c r="J17" s="39" t="str">
        <x:v>头肩；无低头驼背</x:v>
      </x:c>
      <x:c r="K17" s="39" t="str">
        <x:v>P1</x:v>
      </x:c>
      <x:c r="L17" s="39" t="str">
        <x:v>观察状态通过</x:v>
      </x:c>
      <x:c r="M17" s="39" t="str">
        <x:v>FL35_EXP_CHIN_IN_v###</x:v>
      </x:c>
      <x:c r="N17" s="39" t="str">
        <x:v>未开始</x:v>
      </x:c>
      <x:c r="O17" s="27" t="str"/>
      <x:c r="P17" s="27" t="str">
        <x:v>不要变成忧郁或惧怕</x:v>
      </x:c>
    </x:row>
    <x:row r="18" ht="15" hidden="0" customHeight="1">
      <x:c r="A18" s="39" t="n">
        <x:v>14</x:v>
      </x:c>
      <x:c r="B18" s="27" t="str">
        <x:v>FL35-HAND-BAM</x:v>
      </x:c>
      <x:c r="C18" s="27" t="str">
        <x:v>@FL35_HAND_BAMBOO_STOP</x:v>
      </x:c>
      <x:c r="D18" s="27" t="str">
        <x:v>手势</x:v>
      </x:c>
      <x:c r="E18" s="27" t="str">
        <x:v>右手触竹简不翻</x:v>
      </x:c>
      <x:c r="F18" s="27" t="str">
        <x:v>食指轻触边缘并停止</x:v>
      </x:c>
      <x:c r="G18" s="27" t="str">
        <x:v>@FL35_ROOT</x:v>
      </x:c>
      <x:c r="H18" s="39" t="n">
        <x:v>6</x:v>
      </x:c>
      <x:c r="I18" s="39" t="n">
        <x:v>1</x:v>
      </x:c>
      <x:c r="J18" s="39" t="str">
        <x:v>85mm近摄；完整五指；湿竹片</x:v>
      </x:c>
      <x:c r="K18" s="39" t="str">
        <x:v>P0</x:v>
      </x:c>
      <x:c r="L18" s="39" t="str">
        <x:v>根图+袖口+P04</x:v>
      </x:c>
      <x:c r="M18" s="39" t="str">
        <x:v>FL35_HAND_BAMBOO_STOP_v###</x:v>
      </x:c>
      <x:c r="N18" s="39" t="str">
        <x:v>未开始</x:v>
      </x:c>
      <x:c r="O18" s="27" t="str"/>
      <x:c r="P18" s="27" t="str">
        <x:v>手部先修静帧再进入视频</x:v>
      </x:c>
    </x:row>
    <x:row r="19" ht="21.600000381469727" hidden="0" customHeight="1">
      <x:c r="A19" s="39" t="n">
        <x:v>15</x:v>
      </x:c>
      <x:c r="B19" s="27" t="str">
        <x:v>FL35-CST-DRY</x:v>
      </x:c>
      <x:c r="C19" s="27" t="str">
        <x:v>@CST_FL35_YUE_DRY</x:v>
      </x:c>
      <x:c r="D19" s="27" t="str">
        <x:v>服装</x:v>
      </x:c>
      <x:c r="E19" s="27" t="str">
        <x:v>干态主服装</x:v>
      </x:c>
      <x:c r="F19" s="27" t="str">
        <x:v>灰绿右衽 / 烟灰内层 / 暗赭细带 / 深褐雨披</x:v>
      </x:c>
      <x:c r="G19" s="27" t="str">
        <x:v>@FL35_ROOT</x:v>
      </x:c>
      <x:c r="H19" s="39" t="n">
        <x:v>6</x:v>
      </x:c>
      <x:c r="I19" s="39" t="n">
        <x:v>1</x:v>
      </x:c>
      <x:c r="J19" s="39" t="str">
        <x:v>人台+平铺+穿着参考</x:v>
      </x:c>
      <x:c r="K19" s="39" t="str">
        <x:v>P0</x:v>
      </x:c>
      <x:c r="L19" s="39" t="str">
        <x:v>根图通过</x:v>
      </x:c>
      <x:c r="M19" s="39" t="str">
        <x:v>CST_FL35_YUE_DRY_v###</x:v>
      </x:c>
      <x:c r="N19" s="39" t="str">
        <x:v>未开始</x:v>
      </x:c>
      <x:c r="O19" s="27" t="str"/>
      <x:c r="P19" s="27" t="str">
        <x:v>人物左襟压人物右襟</x:v>
      </x:c>
    </x:row>
    <x:row r="20" ht="15" hidden="0" customHeight="1">
      <x:c r="A20" s="39" t="n">
        <x:v>16</x:v>
      </x:c>
      <x:c r="B20" s="27" t="str">
        <x:v>FL35-CST-WET</x:v>
      </x:c>
      <x:c r="C20" s="27" t="str">
        <x:v>@CST_FL35_YUE_WET</x:v>
      </x:c>
      <x:c r="D20" s="27" t="str">
        <x:v>服装</x:v>
      </x:c>
      <x:c r="E20" s="27" t="str">
        <x:v>雨湿连续状态</x:v>
      </x:c>
      <x:c r="F20" s="27" t="str">
        <x:v>右肩披肩更深 / 衣摆泥点</x:v>
      </x:c>
      <x:c r="G20" s="27" t="str">
        <x:v>@CST_FL35_YUE_DRY</x:v>
      </x:c>
      <x:c r="H20" s="39" t="n">
        <x:v>6</x:v>
      </x:c>
      <x:c r="I20" s="39" t="n">
        <x:v>1</x:v>
      </x:c>
      <x:c r="J20" s="39" t="str">
        <x:v>干湿对照；磨损位置固定</x:v>
      </x:c>
      <x:c r="K20" s="39" t="str">
        <x:v>P0</x:v>
      </x:c>
      <x:c r="L20" s="39" t="str">
        <x:v>干态服装通过</x:v>
      </x:c>
      <x:c r="M20" s="39" t="str">
        <x:v>CST_FL35_YUE_WET_v###</x:v>
      </x:c>
      <x:c r="N20" s="39" t="str">
        <x:v>未开始</x:v>
      </x:c>
      <x:c r="O20" s="27" t="str"/>
      <x:c r="P20" s="27" t="str">
        <x:v>湿度变化不能导致换款或换色</x:v>
      </x:c>
    </x:row>
    <x:row r="21" ht="21.600000381469727" hidden="0" customHeight="1">
      <x:c r="A21" s="39" t="n">
        <x:v>17</x:v>
      </x:c>
      <x:c r="B21" s="27" t="str">
        <x:v>FL35-CST-FLAT</x:v>
      </x:c>
      <x:c r="C21" s="27" t="str">
        <x:v>@CST_FL35_FLATLAY</x:v>
      </x:c>
      <x:c r="D21" s="27" t="str">
        <x:v>服装</x:v>
      </x:c>
      <x:c r="E21" s="27" t="str">
        <x:v>服装平铺拆分</x:v>
      </x:c>
      <x:c r="F21" s="27" t="str">
        <x:v>领襟 / 袖 / 带结 / 披肩 / 下裳 / 鞋</x:v>
      </x:c>
      <x:c r="G21" s="27" t="str">
        <x:v>@CST_FL35_YUE_DRY</x:v>
      </x:c>
      <x:c r="H21" s="39" t="n">
        <x:v>4</x:v>
      </x:c>
      <x:c r="I21" s="39" t="n">
        <x:v>1</x:v>
      </x:c>
      <x:c r="J21" s="39" t="str">
        <x:v>暖灰背景；无文字</x:v>
      </x:c>
      <x:c r="K21" s="39" t="str">
        <x:v>P1</x:v>
      </x:c>
      <x:c r="L21" s="39" t="str">
        <x:v>干态服装通过</x:v>
      </x:c>
      <x:c r="M21" s="39" t="str">
        <x:v>CST_FL35_FLATLAY_v###</x:v>
      </x:c>
      <x:c r="N21" s="39" t="str">
        <x:v>未开始</x:v>
      </x:c>
      <x:c r="O21" s="27" t="str"/>
      <x:c r="P21" s="27" t="str">
        <x:v>结构图用于纠正右衽和袖口</x:v>
      </x:c>
    </x:row>
    <x:row r="22" ht="15" hidden="0" customHeight="1">
      <x:c r="A22" s="39" t="n">
        <x:v>18</x:v>
      </x:c>
      <x:c r="B22" s="27" t="str">
        <x:v>FL35-MAT-001</x:v>
      </x:c>
      <x:c r="C22" s="27" t="str">
        <x:v>@FL35_TEXTILE_MACRO</x:v>
      </x:c>
      <x:c r="D22" s="27" t="str">
        <x:v>材质</x:v>
      </x:c>
      <x:c r="E22" s="27" t="str">
        <x:v>织物与湿态微距</x:v>
      </x:c>
      <x:c r="F22" s="27" t="str">
        <x:v>苎麻 / 麻布 / 木簪 / 泥点</x:v>
      </x:c>
      <x:c r="G22" s="27" t="str">
        <x:v>@CST_FL35_YUE_DRY</x:v>
      </x:c>
      <x:c r="H22" s="39" t="n">
        <x:v>4</x:v>
      </x:c>
      <x:c r="I22" s="39" t="n">
        <x:v>1</x:v>
      </x:c>
      <x:c r="J22" s="39" t="str">
        <x:v>四宫格材质板</x:v>
      </x:c>
      <x:c r="K22" s="39" t="str">
        <x:v>P1</x:v>
      </x:c>
      <x:c r="L22" s="39" t="str">
        <x:v>干湿态服装通过</x:v>
      </x:c>
      <x:c r="M22" s="39" t="str">
        <x:v>FL35_TEXTILE_MACRO_v###</x:v>
      </x:c>
      <x:c r="N22" s="39" t="str">
        <x:v>未开始</x:v>
      </x:c>
      <x:c r="O22" s="27" t="str"/>
      <x:c r="P22" s="27" t="str">
        <x:v>无塑料光、无反光缎面</x:v>
      </x:c>
    </x:row>
    <x:row r="23" ht="21.600000381469727" hidden="0" customHeight="1">
      <x:c r="A23" s="39" t="n">
        <x:v>19</x:v>
      </x:c>
      <x:c r="B23" s="27" t="str">
        <x:v>FL35-CAL-001</x:v>
      </x:c>
      <x:c r="C23" s="27" t="str">
        <x:v>@CAL_FL35_MASTER</x:v>
      </x:c>
      <x:c r="D23" s="27" t="str">
        <x:v>校准</x:v>
      </x:c>
      <x:c r="E23" s="27" t="str">
        <x:v>FL35 身份联系表</x:v>
      </x:c>
      <x:c r="F23" s="27" t="str">
        <x:v>正面 / 45° / 侧面 / 背面 / 全身 / 手势</x:v>
      </x:c>
      <x:c r="G23" s="27" t="str">
        <x:v>全部已通过 FL35 资产</x:v>
      </x:c>
      <x:c r="H23" s="39" t="n">
        <x:v>1</x:v>
      </x:c>
      <x:c r="I23" s="39" t="n">
        <x:v>1</x:v>
      </x:c>
      <x:c r="J23" s="39" t="str">
        <x:v>同尺度同光；标注人物自身左右</x:v>
      </x:c>
      <x:c r="K23" s="39" t="str">
        <x:v>P0</x:v>
      </x:c>
      <x:c r="L23" s="39" t="str">
        <x:v>资产 1-18 通过</x:v>
      </x:c>
      <x:c r="M23" s="39" t="str">
        <x:v>CAL_FL35_MASTER_v###</x:v>
      </x:c>
      <x:c r="N23" s="39" t="str">
        <x:v>未开始</x:v>
      </x:c>
      <x:c r="O23" s="27" t="str"/>
      <x:c r="P23" s="27" t="str">
        <x:v>父分支派生 FL45 时只引用此母版</x:v>
      </x:c>
    </x:row>
    <x:row r="24" ht="15" hidden="0" customHeight="1">
      <x:c r="A24" s="39" t="n">
        <x:v>20</x:v>
      </x:c>
      <x:c r="B24" s="27" t="str">
        <x:v>FL35-TEST-S0204</x:v>
      </x:c>
      <x:c r="C24" s="27" t="str">
        <x:v>@TEST_FL35_S02_04</x:v>
      </x:c>
      <x:c r="D24" s="27" t="str">
        <x:v>证明帧</x:v>
      </x:c>
      <x:c r="E24" s="27" t="str">
        <x:v>雨廊角色适配静帧</x:v>
      </x:c>
      <x:c r="F24" s="27" t="str">
        <x:v>S02-04；不做批量剧情图</x:v>
      </x:c>
      <x:c r="G24" s="27" t="str">
        <x:v>@CAL_FL35_MASTER</x:v>
      </x:c>
      <x:c r="H24" s="39" t="n">
        <x:v>4</x:v>
      </x:c>
      <x:c r="I24" s="39" t="n">
        <x:v>1</x:v>
      </x:c>
      <x:c r="J24" s="39" t="str">
        <x:v>16:9 / 50mm / 右1/3</x:v>
      </x:c>
      <x:c r="K24" s="39" t="str">
        <x:v>P1</x:v>
      </x:c>
      <x:c r="L24" s="39" t="str">
        <x:v>FL35 闸门通过</x:v>
      </x:c>
      <x:c r="M24" s="39" t="str">
        <x:v>TEST_S02-04_FL35_v###</x:v>
      </x:c>
      <x:c r="N24" s="39" t="str">
        <x:v>未开始</x:v>
      </x:c>
      <x:c r="O24" s="27" t="str"/>
      <x:c r="P24" s="27" t="str">
        <x:v>仅用于证明身份、衣襟和雨态在剧情环境中稳定</x:v>
      </x:c>
    </x:row>
  </x:sheetData>
  <x:mergeCells>
    <x:mergeCell ref="A1:P1"/>
    <x:mergeCell ref="A2:P2"/>
  </x:mergeCells>
  <x:conditionalFormatting sqref="N5:N24">
    <x:cfRule type="containsText" dxfId="2" priority="1" operator="containsText" text="已通过"/>
    <x:cfRule type="containsText" dxfId="3" priority="2" operator="containsText" text="待复核"/>
    <x:cfRule type="containsText" dxfId="4" priority="3" operator="containsText" text="需返工"/>
    <x:cfRule type="containsText" dxfId="5" priority="4" operator="containsText" text="阻塞"/>
  </x:conditionalFormatting>
  <x:dataValidations count="2">
    <x:dataValidation type="list" sqref="N5:N24">
      <x:formula1>"未开始,制作中,待复核,已通过,需返工,阻塞"</x:formula1>
    </x:dataValidation>
    <x:dataValidation type="list" sqref="K5:K24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58da0bb33046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36" hidden="0" customWidth="1"/>
    <x:col min="4" max="4" width="24" hidden="0" customWidth="1"/>
    <x:col min="5" max="5" width="34" hidden="0" customWidth="1"/>
    <x:col min="6" max="6" width="27" hidden="0" customWidth="1"/>
    <x:col min="7" max="7" width="28" hidden="0" customWidth="1"/>
    <x:col min="8" max="8" width="12" hidden="0" customWidth="1"/>
    <x:col min="9" max="9" width="11" hidden="0" customWidth="1"/>
    <x:col min="10" max="10" width="23" hidden="0" customWidth="1"/>
  </x:cols>
  <x:sheetData>
    <x:row r="1" ht="34" customHeight="1">
      <x:c r="A1" s="3" t="str">
        <x:v>FL35 Canonical Identity DNA</x:v>
      </x:c>
      <x:c r="B1" s="3" t="str">
        <x:v>FL35 Canonical Identity DNA</x:v>
      </x:c>
      <x:c r="C1" s="3" t="str">
        <x:v>FL35 Canonical Identity DNA</x:v>
      </x:c>
      <x:c r="D1" s="3" t="str">
        <x:v>FL35 Canonical Identity DNA</x:v>
      </x:c>
      <x:c r="E1" s="3" t="str">
        <x:v>FL35 Canonical Identity DNA</x:v>
      </x:c>
      <x:c r="F1" s="3" t="str">
        <x:v>FL35 Canonical Identity DNA</x:v>
      </x:c>
      <x:c r="G1" s="3" t="str">
        <x:v>FL35 Canonical Identity DNA</x:v>
      </x:c>
      <x:c r="H1" s="3" t="str">
        <x:v>FL35 Canonical Identity DNA</x:v>
      </x:c>
      <x:c r="I1" s="3" t="str">
        <x:v>FL35 Canonical Identity DNA</x:v>
      </x:c>
      <x:c r="J1" s="3" t="str">
        <x:v>FL35 Canonical Identity DNA</x:v>
      </x:c>
    </x:row>
    <x:row r="2" ht="32" customHeight="1">
      <x:c r="A2" s="7" t="str">
        <x:v>这张表是年龄派生的硬约束。任何“硬阻断”未通过，都不得把资产提交给 FL45 分支。</x:v>
      </x:c>
      <x:c r="B2" s="7" t="str">
        <x:v>这张表是年龄派生的硬约束。任何“硬阻断”未通过，都不得把资产提交给 FL45 分支。</x:v>
      </x:c>
      <x:c r="C2" s="7" t="str">
        <x:v>这张表是年龄派生的硬约束。任何“硬阻断”未通过，都不得把资产提交给 FL45 分支。</x:v>
      </x:c>
      <x:c r="D2" s="7" t="str">
        <x:v>这张表是年龄派生的硬约束。任何“硬阻断”未通过，都不得把资产提交给 FL45 分支。</x:v>
      </x:c>
      <x:c r="E2" s="7" t="str">
        <x:v>这张表是年龄派生的硬约束。任何“硬阻断”未通过，都不得把资产提交给 FL45 分支。</x:v>
      </x:c>
      <x:c r="F2" s="7" t="str">
        <x:v>这张表是年龄派生的硬约束。任何“硬阻断”未通过，都不得把资产提交给 FL45 分支。</x:v>
      </x:c>
      <x:c r="G2" s="7" t="str">
        <x:v>这张表是年龄派生的硬约束。任何“硬阻断”未通过，都不得把资产提交给 FL45 分支。</x:v>
      </x:c>
      <x:c r="H2" s="7" t="str">
        <x:v>这张表是年龄派生的硬约束。任何“硬阻断”未通过，都不得把资产提交给 FL45 分支。</x:v>
      </x:c>
      <x:c r="I2" s="7" t="str">
        <x:v>这张表是年龄派生的硬约束。任何“硬阻断”未通过，都不得把资产提交给 FL45 分支。</x:v>
      </x:c>
      <x:c r="J2" s="7" t="str">
        <x:v>这张表是年龄派生的硬约束。任何“硬阻断”未通过，都不得把资产提交给 FL45 分支。</x:v>
      </x:c>
    </x:row>
    <x:row r="4" ht="34" hidden="0" customHeight="1">
      <x:c r="A4" s="33" t="str">
        <x:v>DNA ID</x:v>
      </x:c>
      <x:c r="B4" s="34" t="str">
        <x:v>维度</x:v>
      </x:c>
      <x:c r="C4" s="34" t="str">
        <x:v>锁定定义</x:v>
      </x:c>
      <x:c r="D4" s="34" t="str">
        <x:v>允许变化</x:v>
      </x:c>
      <x:c r="E4" s="34" t="str">
        <x:v>禁止变化</x:v>
      </x:c>
      <x:c r="F4" s="34" t="str">
        <x:v>人物自身左右规则</x:v>
      </x:c>
      <x:c r="G4" s="34" t="str">
        <x:v>验证方法</x:v>
      </x:c>
      <x:c r="H4" s="34" t="str">
        <x:v>严重级别</x:v>
      </x:c>
      <x:c r="I4" s="34" t="str">
        <x:v>状态</x:v>
      </x:c>
      <x:c r="J4" s="35" t="str">
        <x:v>证据路径</x:v>
      </x:c>
    </x:row>
    <x:row r="5" ht="15" hidden="0" customHeight="1">
      <x:c r="A5" s="39" t="str">
        <x:v>DNA-01</x:v>
      </x:c>
      <x:c r="B5" s="39" t="str">
        <x:v>脸型</x:v>
      </x:c>
      <x:c r="C5" s="27" t="str">
        <x:v>长椭圆脸；高颧骨但不过度突出</x:v>
      </x:c>
      <x:c r="D5" s="27" t="str">
        <x:v>轻微表情与透视变化</x:v>
      </x:c>
      <x:c r="E5" s="27" t="str">
        <x:v>圆脸、方脸、削尖锥形脸</x:v>
      </x:c>
      <x:c r="F5" s="27" t="str">
        <x:v>不适用</x:v>
      </x:c>
      <x:c r="G5" s="27" t="str">
        <x:v>正面与45°叠图比较外轮廓</x:v>
      </x:c>
      <x:c r="H5" s="39" t="str">
        <x:v>硬阻断</x:v>
      </x:c>
      <x:c r="I5" s="39" t="str">
        <x:v>未开始</x:v>
      </x:c>
      <x:c r="J5" s="27" t="str"/>
    </x:row>
    <x:row r="6" ht="15" hidden="0" customHeight="1">
      <x:c r="A6" s="39" t="str">
        <x:v>DNA-02</x:v>
      </x:c>
      <x:c r="B6" s="39" t="str">
        <x:v>眉形</x:v>
      </x:c>
      <x:c r="C6" s="27" t="str">
        <x:v>平直浓眉</x:v>
      </x:c>
      <x:c r="D6" s="27" t="str">
        <x:v>自然毛流</x:v>
      </x:c>
      <x:c r="E6" s="27" t="str">
        <x:v>弯月眉、剑眉夸张上挑</x:v>
      </x:c>
      <x:c r="F6" s="27" t="str">
        <x:v>不适用</x:v>
      </x:c>
      <x:c r="G6" s="27" t="str">
        <x:v>正面与双45°并排</x:v>
      </x:c>
      <x:c r="H6" s="39" t="str">
        <x:v>硬阻断</x:v>
      </x:c>
      <x:c r="I6" s="39" t="str">
        <x:v>未开始</x:v>
      </x:c>
      <x:c r="J6" s="27" t="str"/>
    </x:row>
    <x:row r="7" ht="15" hidden="0" customHeight="1">
      <x:c r="A7" s="39" t="str">
        <x:v>DNA-03</x:v>
      </x:c>
      <x:c r="B7" s="39" t="str">
        <x:v>身份标记</x:v>
      </x:c>
      <x:c r="C7" s="27" t="str">
        <x:v>人物自身左眉尾轻微自然断点</x:v>
      </x:c>
      <x:c r="D7" s="27" t="str">
        <x:v>只允许因角度部分遮挡</x:v>
      </x:c>
      <x:c r="E7" s="27" t="str">
        <x:v>断点消失、跑到右眉、变成伤疤</x:v>
      </x:c>
      <x:c r="F7" s="27" t="str">
        <x:v>正面图位于画面右侧；侧面不得镜像</x:v>
      </x:c>
      <x:c r="G7" s="27" t="str">
        <x:v>在联系表标注人物左侧</x:v>
      </x:c>
      <x:c r="H7" s="39" t="str">
        <x:v>硬阻断</x:v>
      </x:c>
      <x:c r="I7" s="39" t="str">
        <x:v>未开始</x:v>
      </x:c>
      <x:c r="J7" s="27" t="str"/>
    </x:row>
    <x:row r="8" ht="15" hidden="0" customHeight="1">
      <x:c r="A8" s="39" t="str">
        <x:v>DNA-04</x:v>
      </x:c>
      <x:c r="B8" s="39" t="str">
        <x:v>眼睛</x:v>
      </x:c>
      <x:c r="C8" s="27" t="str">
        <x:v>内敛杏形眼；眼距固定</x:v>
      </x:c>
      <x:c r="D8" s="27" t="str">
        <x:v>凝视方向、轻微眨眼</x:v>
      </x:c>
      <x:c r="E8" s="27" t="str">
        <x:v>大圆眼、外星眼距、左右不对称</x:v>
      </x:c>
      <x:c r="F8" s="27" t="str">
        <x:v>人物左右眼不可交换</x:v>
      </x:c>
      <x:c r="G8" s="27" t="str">
        <x:v>瞳孔与内外眼角对齐检查</x:v>
      </x:c>
      <x:c r="H8" s="39" t="str">
        <x:v>硬阻断</x:v>
      </x:c>
      <x:c r="I8" s="39" t="str">
        <x:v>未开始</x:v>
      </x:c>
      <x:c r="J8" s="27" t="str"/>
    </x:row>
    <x:row r="9" ht="15" hidden="0" customHeight="1">
      <x:c r="A9" s="39" t="str">
        <x:v>DNA-05</x:v>
      </x:c>
      <x:c r="B9" s="39" t="str">
        <x:v>鼻子</x:v>
      </x:c>
      <x:c r="C9" s="27" t="str">
        <x:v>直鼻梁、圆钝鼻尖</x:v>
      </x:c>
      <x:c r="D9" s="27" t="str">
        <x:v>光影变化</x:v>
      </x:c>
      <x:c r="E9" s="27" t="str">
        <x:v>鹰钩鼻、尖鼻、塌鼻、鼻尖漂移</x:v>
      </x:c>
      <x:c r="F9" s="27" t="str">
        <x:v>鼻翼小不对称保持自然</x:v>
      </x:c>
      <x:c r="G9" s="27" t="str">
        <x:v>正侧面轮廓叠图</x:v>
      </x:c>
      <x:c r="H9" s="39" t="str">
        <x:v>硬阻断</x:v>
      </x:c>
      <x:c r="I9" s="39" t="str">
        <x:v>未开始</x:v>
      </x:c>
      <x:c r="J9" s="27" t="str"/>
    </x:row>
    <x:row r="10" ht="15" hidden="0" customHeight="1">
      <x:c r="A10" s="39" t="str">
        <x:v>DNA-06</x:v>
      </x:c>
      <x:c r="B10" s="39" t="str">
        <x:v>嘴唇</x:v>
      </x:c>
      <x:c r="C10" s="27" t="str">
        <x:v>薄唇；自然闭合</x:v>
      </x:c>
      <x:c r="D10" s="27" t="str">
        <x:v>轻微呼吸</x:v>
      </x:c>
      <x:c r="E10" s="27" t="str">
        <x:v>厚唇、噘嘴、广告式微笑</x:v>
      </x:c>
      <x:c r="F10" s="27" t="str">
        <x:v>不适用</x:v>
      </x:c>
      <x:c r="G10" s="27" t="str">
        <x:v>正面与表情板对照</x:v>
      </x:c>
      <x:c r="H10" s="39" t="str">
        <x:v>硬阻断</x:v>
      </x:c>
      <x:c r="I10" s="39" t="str">
        <x:v>未开始</x:v>
      </x:c>
      <x:c r="J10" s="27" t="str"/>
    </x:row>
    <x:row r="11" ht="15" hidden="0" customHeight="1">
      <x:c r="A11" s="39" t="str">
        <x:v>DNA-07</x:v>
      </x:c>
      <x:c r="B11" s="39" t="str">
        <x:v>下颌</x:v>
      </x:c>
      <x:c r="C11" s="27" t="str">
        <x:v>窄而有力的下颌</x:v>
      </x:c>
      <x:c r="D11" s="27" t="str">
        <x:v>轻微收下巴</x:v>
      </x:c>
      <x:c r="E11" s="27" t="str">
        <x:v>宽方颌、尖下巴、双下巴漂移</x:v>
      </x:c>
      <x:c r="F11" s="27" t="str">
        <x:v>不适用</x:v>
      </x:c>
      <x:c r="G11" s="27" t="str">
        <x:v>正面与侧面轮廓检查</x:v>
      </x:c>
      <x:c r="H11" s="39" t="str">
        <x:v>硬阻断</x:v>
      </x:c>
      <x:c r="I11" s="39" t="str">
        <x:v>未开始</x:v>
      </x:c>
      <x:c r="J11" s="27" t="str"/>
    </x:row>
    <x:row r="12" ht="15" hidden="0" customHeight="1">
      <x:c r="A12" s="39" t="str">
        <x:v>DNA-08</x:v>
      </x:c>
      <x:c r="B12" s="39" t="str">
        <x:v>年龄</x:v>
      </x:c>
      <x:c r="C12" s="27" t="str">
        <x:v>35 岁；成熟但不显老</x:v>
      </x:c>
      <x:c r="D12" s="27" t="str">
        <x:v>室外疲惫、轻微晒痕</x:v>
      </x:c>
      <x:c r="E12" s="27" t="str">
        <x:v>深皱纹、长须、60岁外观</x:v>
      </x:c>
      <x:c r="F12" s="27" t="str">
        <x:v>不适用</x:v>
      </x:c>
      <x:c r="G12" s="27" t="str">
        <x:v>与父分支年龄梯度基线对照</x:v>
      </x:c>
      <x:c r="H12" s="39" t="str">
        <x:v>硬阻断</x:v>
      </x:c>
      <x:c r="I12" s="39" t="str">
        <x:v>未开始</x:v>
      </x:c>
      <x:c r="J12" s="27" t="str"/>
    </x:row>
    <x:row r="13" ht="15" hidden="0" customHeight="1">
      <x:c r="A13" s="39" t="str">
        <x:v>DNA-09</x:v>
      </x:c>
      <x:c r="B13" s="39" t="str">
        <x:v>肤色</x:v>
      </x:c>
      <x:c r="C13" s="27" t="str">
        <x:v>自然小麦色；常年室外</x:v>
      </x:c>
      <x:c r="D13" s="27" t="str">
        <x:v>雨湿、疲惫、局部冷光</x:v>
      </x:c>
      <x:c r="E13" s="27" t="str">
        <x:v>洁白粉底、塑料皮、磨皮</x:v>
      </x:c>
      <x:c r="F13" s="27" t="str">
        <x:v>不适用</x:v>
      </x:c>
      <x:c r="G13" s="27" t="str">
        <x:v>中性光肤色卡+雨景回测</x:v>
      </x:c>
      <x:c r="H13" s="39" t="str">
        <x:v>主要</x:v>
      </x:c>
      <x:c r="I13" s="39" t="str">
        <x:v>未开始</x:v>
      </x:c>
      <x:c r="J13" s="27" t="str"/>
    </x:row>
    <x:row r="14" ht="15" hidden="0" customHeight="1">
      <x:c r="A14" s="39" t="str">
        <x:v>DNA-10</x:v>
      </x:c>
      <x:c r="B14" s="39" t="str">
        <x:v>头发</x:v>
      </x:c>
      <x:c r="C14" s="27" t="str">
        <x:v>黑发，高束简朴发髻</x:v>
      </x:c>
      <x:c r="D14" s="27" t="str">
        <x:v>少量湿发碎发</x:v>
      </x:c>
      <x:c r="E14" s="27" t="str">
        <x:v>低髻、披发、后世冠帽</x:v>
      </x:c>
      <x:c r="F14" s="27" t="str">
        <x:v>发髻结构不可镜像偷懒</x:v>
      </x:c>
      <x:c r="G14" s="27" t="str">
        <x:v>前后侧四视图比对</x:v>
      </x:c>
      <x:c r="H14" s="39" t="str">
        <x:v>硬阻断</x:v>
      </x:c>
      <x:c r="I14" s="39" t="str">
        <x:v>未开始</x:v>
      </x:c>
      <x:c r="J14" s="27" t="str"/>
    </x:row>
    <x:row r="15" ht="15" hidden="0" customHeight="1">
      <x:c r="A15" s="39" t="str">
        <x:v>DNA-11</x:v>
      </x:c>
      <x:c r="B15" s="39" t="str">
        <x:v>木簪</x:v>
      </x:c>
      <x:c r="C15" s="27" t="str">
        <x:v>深褐木簪；形制与穿插方向固定</x:v>
      </x:c>
      <x:c r="D15" s="27" t="str">
        <x:v>表面湿度</x:v>
      </x:c>
      <x:c r="E15" s="27" t="str">
        <x:v>玉簪、金簪、方向随机</x:v>
      </x:c>
      <x:c r="F15" s="27" t="str">
        <x:v>人物左右记录于背面母版</x:v>
      </x:c>
      <x:c r="G15" s="27" t="str">
        <x:v>背面+侧面对照</x:v>
      </x:c>
      <x:c r="H15" s="39" t="str">
        <x:v>主要</x:v>
      </x:c>
      <x:c r="I15" s="39" t="str">
        <x:v>未开始</x:v>
      </x:c>
      <x:c r="J15" s="27" t="str"/>
    </x:row>
    <x:row r="16" ht="15" hidden="0" customHeight="1">
      <x:c r="A16" s="39" t="str">
        <x:v>DNA-12</x:v>
      </x:c>
      <x:c r="B16" s="39" t="str">
        <x:v>胡须</x:v>
      </x:c>
      <x:c r="C16" s="27" t="str">
        <x:v>无胡须或仅极淡短须</x:v>
      </x:c>
      <x:c r="D16" s="27" t="str">
        <x:v>极轻胡茬</x:v>
      </x:c>
      <x:c r="E16" s="27" t="str">
        <x:v>明显八字须、长下颌须</x:v>
      </x:c>
      <x:c r="F16" s="27" t="str">
        <x:v>不适用</x:v>
      </x:c>
      <x:c r="G16" s="27" t="str">
        <x:v>正面近看</x:v>
      </x:c>
      <x:c r="H16" s="39" t="str">
        <x:v>硬阻断</x:v>
      </x:c>
      <x:c r="I16" s="39" t="str">
        <x:v>未开始</x:v>
      </x:c>
      <x:c r="J16" s="27" t="str"/>
    </x:row>
    <x:row r="17" ht="15" hidden="0" customHeight="1">
      <x:c r="A17" s="39" t="str">
        <x:v>DNA-13</x:v>
      </x:c>
      <x:c r="B17" s="39" t="str">
        <x:v>身高</x:v>
      </x:c>
      <x:c r="C17" s="27" t="str">
        <x:v>约178cm</x:v>
      </x:c>
      <x:c r="D17" s="27" t="str">
        <x:v>镜头透视</x:v>
      </x:c>
      <x:c r="E17" s="27" t="str">
        <x:v>随机缩短、武将式巨大体格</x:v>
      </x:c>
      <x:c r="F17" s="27" t="str">
        <x:v>不适用</x:v>
      </x:c>
      <x:c r="G17" s="27" t="str">
        <x:v>全身标尺与道具比例</x:v>
      </x:c>
      <x:c r="H17" s="39" t="str">
        <x:v>主要</x:v>
      </x:c>
      <x:c r="I17" s="39" t="str">
        <x:v>未开始</x:v>
      </x:c>
      <x:c r="J17" s="27" t="str"/>
    </x:row>
    <x:row r="18" ht="15" hidden="0" customHeight="1">
      <x:c r="A18" s="39" t="str">
        <x:v>DNA-14</x:v>
      </x:c>
      <x:c r="B18" s="39" t="str">
        <x:v>体态</x:v>
      </x:c>
      <x:c r="C18" s="27" t="str">
        <x:v>清瘦但不羸弱；肩线平直；重心稳定</x:v>
      </x:c>
      <x:c r="D18" s="27" t="str">
        <x:v>轻微行走与停顿</x:v>
      </x:c>
      <x:c r="E18" s="27" t="str">
        <x:v>驼背、健美肌肉、英雄叉腰</x:v>
      </x:c>
      <x:c r="F18" s="27" t="str">
        <x:v>不适用</x:v>
      </x:c>
      <x:c r="G18" s="27" t="str">
        <x:v>正侧背全身联系表</x:v>
      </x:c>
      <x:c r="H18" s="39" t="str">
        <x:v>主要</x:v>
      </x:c>
      <x:c r="I18" s="39" t="str">
        <x:v>未开始</x:v>
      </x:c>
      <x:c r="J18" s="27" t="str"/>
    </x:row>
    <x:row r="19" ht="15" hidden="0" customHeight="1">
      <x:c r="A19" s="39" t="str">
        <x:v>DNA-15</x:v>
      </x:c>
      <x:c r="B19" s="39" t="str">
        <x:v>表演</x:v>
      </x:c>
      <x:c r="C19" s="27" t="str">
        <x:v>先观察后判断；说话少；平静呼吸</x:v>
      </x:c>
      <x:c r="D19" s="27" t="str">
        <x:v>抬眼、收下巴、视线移动</x:v>
      </x:c>
      <x:c r="E19" s="27" t="str">
        <x:v>夸张皱眉、冷笑、英雄摆拍</x:v>
      </x:c>
      <x:c r="F19" s="27" t="str">
        <x:v>不适用</x:v>
      </x:c>
      <x:c r="G19" s="27" t="str">
        <x:v>表情板+证明帧</x:v>
      </x:c>
      <x:c r="H19" s="39" t="str">
        <x:v>主要</x:v>
      </x:c>
      <x:c r="I19" s="39" t="str">
        <x:v>未开始</x:v>
      </x:c>
      <x:c r="J19" s="27" t="str"/>
    </x:row>
    <x:row r="20" ht="15" hidden="0" customHeight="1">
      <x:c r="A20" s="39" t="str">
        <x:v>DNA-16</x:v>
      </x:c>
      <x:c r="B20" s="39" t="str">
        <x:v>服装方向</x:v>
      </x:c>
      <x:c r="C20" s="27" t="str">
        <x:v>交领右衽：人物左襟压人物右襟</x:v>
      </x:c>
      <x:c r="D20" s="27" t="str">
        <x:v>布料自然折皱</x:v>
      </x:c>
      <x:c r="E20" s="27" t="str">
        <x:v>左右翻转、反穿、镜头间换向</x:v>
      </x:c>
      <x:c r="F20" s="27" t="str">
        <x:v>正面图需标注人物左/右</x:v>
      </x:c>
      <x:c r="G20" s="27" t="str">
        <x:v>平铺结构+穿着正面复核</x:v>
      </x:c>
      <x:c r="H20" s="39" t="str">
        <x:v>硬阻断</x:v>
      </x:c>
      <x:c r="I20" s="39" t="str">
        <x:v>未开始</x:v>
      </x:c>
      <x:c r="J20" s="27" t="str"/>
    </x:row>
    <x:row r="21" ht="15" hidden="0" customHeight="1">
      <x:c r="A21" s="39" t="str">
        <x:v>DNA-17</x:v>
      </x:c>
      <x:c r="B21" s="39" t="str">
        <x:v>雨态</x:v>
      </x:c>
      <x:c r="C21" s="27" t="str">
        <x:v>右肩披肩更深，衣摆固定泥点</x:v>
      </x:c>
      <x:c r="D21" s="27" t="str">
        <x:v>湿度可微调</x:v>
      </x:c>
      <x:c r="E21" s="27" t="str">
        <x:v>全身均匀泼黑、泥点随机跳位</x:v>
      </x:c>
      <x:c r="F21" s="27" t="str">
        <x:v>人物右肩而非画面右侧</x:v>
      </x:c>
      <x:c r="G21" s="27" t="str">
        <x:v>干湿对照图+镜头连续性卡</x:v>
      </x:c>
      <x:c r="H21" s="39" t="str">
        <x:v>硬阻断</x:v>
      </x:c>
      <x:c r="I21" s="39" t="str">
        <x:v>未开始</x:v>
      </x:c>
      <x:c r="J21" s="27" t="str"/>
    </x:row>
    <x:row r="22" ht="15" hidden="0" customHeight="1">
      <x:c r="A22" s="39" t="str">
        <x:v>DNA-18</x:v>
      </x:c>
      <x:c r="B22" s="39" t="str">
        <x:v>手部</x:v>
      </x:c>
      <x:c r="C22" s="27" t="str">
        <x:v>自然五指、轻微劳作痕迹、无首饰</x:v>
      </x:c>
      <x:c r="D22" s="27" t="str">
        <x:v>触碰角度</x:v>
      </x:c>
      <x:c r="E22" s="27" t="str">
        <x:v>多指、融合、穿过竹简</x:v>
      </x:c>
      <x:c r="F22" s="27" t="str">
        <x:v>S02-05 使用人物右手</x:v>
      </x:c>
      <x:c r="G22" s="27" t="str">
        <x:v>局部放大逐指检查</x:v>
      </x:c>
      <x:c r="H22" s="39" t="str">
        <x:v>硬阻断</x:v>
      </x:c>
      <x:c r="I22" s="39" t="str">
        <x:v>未开始</x:v>
      </x:c>
      <x:c r="J22" s="27" t="str"/>
    </x:row>
    <x:row r="23" ht="15" hidden="0" customHeight="1">
      <x:c r="A23" s="39" t="str">
        <x:v>DNA-19</x:v>
      </x:c>
      <x:c r="B23" s="39" t="str">
        <x:v>竹简动作</x:v>
      </x:c>
      <x:c r="C23" s="27" t="str">
        <x:v>食指触边后停止，不翻简</x:v>
      </x:c>
      <x:c r="D23" s="27" t="str">
        <x:v>一次轻触</x:v>
      </x:c>
      <x:c r="E23" s="27" t="str">
        <x:v>反复翻动、竹简自行翻页</x:v>
      </x:c>
      <x:c r="F23" s="27" t="str">
        <x:v>人物右手动作固定</x:v>
      </x:c>
      <x:c r="G23" s="27" t="str">
        <x:v>起始/结束关键帧对照</x:v>
      </x:c>
      <x:c r="H23" s="39" t="str">
        <x:v>硬阻断</x:v>
      </x:c>
      <x:c r="I23" s="39" t="str">
        <x:v>未开始</x:v>
      </x:c>
      <x:c r="J23" s="27" t="str"/>
    </x:row>
    <x:row r="24" ht="15" hidden="0" customHeight="1">
      <x:c r="A24" s="39" t="str">
        <x:v>DNA-20</x:v>
      </x:c>
      <x:c r="B24" s="39" t="str">
        <x:v>输出纪律</x:v>
      </x:c>
      <x:c r="C24" s="27" t="str">
        <x:v>每张记录模型、seed、父参考、提示词和版本</x:v>
      </x:c>
      <x:c r="D24" s="27" t="str">
        <x:v>可追加修复说明</x:v>
      </x:c>
      <x:c r="E24" s="27" t="str">
        <x:v>无记录的孤立成图</x:v>
      </x:c>
      <x:c r="F24" s="27" t="str">
        <x:v>左右字段必须填写</x:v>
      </x:c>
      <x:c r="G24" s="27" t="str">
        <x:v>文件名+资产表核对</x:v>
      </x:c>
      <x:c r="H24" s="39" t="str">
        <x:v>主要</x:v>
      </x:c>
      <x:c r="I24" s="39" t="str">
        <x:v>未开始</x:v>
      </x:c>
      <x:c r="J24" s="27" t="str"/>
    </x:row>
  </x:sheetData>
  <x:mergeCells>
    <x:mergeCell ref="A1:J1"/>
    <x:mergeCell ref="A2:J2"/>
  </x:mergeCells>
  <x:conditionalFormatting sqref="I5:I24">
    <x:cfRule type="containsText" dxfId="6" priority="1" operator="containsText" text="已通过"/>
    <x:cfRule type="containsText" dxfId="7" priority="2" operator="containsText" text="待复核"/>
    <x:cfRule type="containsText" dxfId="8" priority="3" operator="containsText" text="需返工"/>
    <x:cfRule type="containsText" dxfId="9" priority="4" operator="containsText" text="阻塞"/>
  </x:conditionalFormatting>
  <x:dataValidations count="1">
    <x:dataValidation type="list" sqref="I5:I24">
      <x:formula1>"未开始,制作中,待复核,已通过,需返工,阻塞"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37caaa6284471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13" hidden="0" customWidth="1"/>
    <x:col min="4" max="4" width="23" hidden="0" customWidth="1"/>
    <x:col min="5" max="5" width="38" hidden="0" customWidth="1"/>
    <x:col min="6" max="6" width="22" hidden="0" customWidth="1"/>
    <x:col min="7" max="7" width="28" hidden="0" customWidth="1"/>
    <x:col min="8" max="8" width="35" hidden="0" customWidth="1"/>
    <x:col min="9" max="9" width="35" hidden="0" customWidth="1"/>
    <x:col min="10" max="10" width="21" hidden="0" customWidth="1"/>
    <x:col min="11" max="11" width="30" hidden="0" customWidth="1"/>
    <x:col min="12" max="12" width="9" hidden="0" customWidth="1"/>
    <x:col min="13" max="13" width="11" hidden="0" customWidth="1"/>
    <x:col min="14" max="14" width="28" hidden="0" customWidth="1"/>
  </x:cols>
  <x:sheetData>
    <x:row r="1" ht="34" customHeight="1">
      <x:c r="A1" s="3" t="str">
        <x:v>FL35 服装与雨湿状态</x:v>
      </x:c>
      <x:c r="B1" s="3" t="str">
        <x:v>FL35 服装与雨湿状态</x:v>
      </x:c>
      <x:c r="C1" s="3" t="str">
        <x:v>FL35 服装与雨湿状态</x:v>
      </x:c>
      <x:c r="D1" s="3" t="str">
        <x:v>FL35 服装与雨湿状态</x:v>
      </x:c>
      <x:c r="E1" s="3" t="str">
        <x:v>FL35 服装与雨湿状态</x:v>
      </x:c>
      <x:c r="F1" s="3" t="str">
        <x:v>FL35 服装与雨湿状态</x:v>
      </x:c>
      <x:c r="G1" s="3" t="str">
        <x:v>FL35 服装与雨湿状态</x:v>
      </x:c>
      <x:c r="H1" s="3" t="str">
        <x:v>FL35 服装与雨湿状态</x:v>
      </x:c>
      <x:c r="I1" s="3" t="str">
        <x:v>FL35 服装与雨湿状态</x:v>
      </x:c>
      <x:c r="J1" s="3" t="str">
        <x:v>FL35 服装与雨湿状态</x:v>
      </x:c>
      <x:c r="K1" s="3" t="str">
        <x:v>FL35 服装与雨湿状态</x:v>
      </x:c>
      <x:c r="L1" s="3" t="str">
        <x:v>FL35 服装与雨湿状态</x:v>
      </x:c>
      <x:c r="M1" s="3" t="str">
        <x:v>FL35 服装与雨湿状态</x:v>
      </x:c>
      <x:c r="N1" s="3" t="str">
        <x:v>FL35 服装与雨湿状态</x:v>
      </x:c>
    </x:row>
    <x:row r="2" ht="32" customHeight="1">
      <x:c r="A2" s="7" t="str">
        <x:v>右衽方向以人物自身为准：人物左襟在外压住人物右襟。雨戏固定人物右肩披肩更深、衣摆泥点位置稳定。</x:v>
      </x:c>
      <x:c r="B2" s="7" t="str">
        <x:v>右衽方向以人物自身为准：人物左襟在外压住人物右襟。雨戏固定人物右肩披肩更深、衣摆泥点位置稳定。</x:v>
      </x:c>
      <x:c r="C2" s="7" t="str">
        <x:v>右衽方向以人物自身为准：人物左襟在外压住人物右襟。雨戏固定人物右肩披肩更深、衣摆泥点位置稳定。</x:v>
      </x:c>
      <x:c r="D2" s="7" t="str">
        <x:v>右衽方向以人物自身为准：人物左襟在外压住人物右襟。雨戏固定人物右肩披肩更深、衣摆泥点位置稳定。</x:v>
      </x:c>
      <x:c r="E2" s="7" t="str">
        <x:v>右衽方向以人物自身为准：人物左襟在外压住人物右襟。雨戏固定人物右肩披肩更深、衣摆泥点位置稳定。</x:v>
      </x:c>
      <x:c r="F2" s="7" t="str">
        <x:v>右衽方向以人物自身为准：人物左襟在外压住人物右襟。雨戏固定人物右肩披肩更深、衣摆泥点位置稳定。</x:v>
      </x:c>
      <x:c r="G2" s="7" t="str">
        <x:v>右衽方向以人物自身为准：人物左襟在外压住人物右襟。雨戏固定人物右肩披肩更深、衣摆泥点位置稳定。</x:v>
      </x:c>
      <x:c r="H2" s="7" t="str">
        <x:v>右衽方向以人物自身为准：人物左襟在外压住人物右襟。雨戏固定人物右肩披肩更深、衣摆泥点位置稳定。</x:v>
      </x:c>
      <x:c r="I2" s="7" t="str">
        <x:v>右衽方向以人物自身为准：人物左襟在外压住人物右襟。雨戏固定人物右肩披肩更深、衣摆泥点位置稳定。</x:v>
      </x:c>
      <x:c r="J2" s="7" t="str">
        <x:v>右衽方向以人物自身为准：人物左襟在外压住人物右襟。雨戏固定人物右肩披肩更深、衣摆泥点位置稳定。</x:v>
      </x:c>
      <x:c r="K2" s="7" t="str">
        <x:v>右衽方向以人物自身为准：人物左襟在外压住人物右襟。雨戏固定人物右肩披肩更深、衣摆泥点位置稳定。</x:v>
      </x:c>
      <x:c r="L2" s="7" t="str">
        <x:v>右衽方向以人物自身为准：人物左襟在外压住人物右襟。雨戏固定人物右肩披肩更深、衣摆泥点位置稳定。</x:v>
      </x:c>
      <x:c r="M2" s="7" t="str">
        <x:v>右衽方向以人物自身为准：人物左襟在外压住人物右襟。雨戏固定人物右肩披肩更深、衣摆泥点位置稳定。</x:v>
      </x:c>
      <x:c r="N2" s="7" t="str">
        <x:v>右衽方向以人物自身为准：人物左襟在外压住人物右襟。雨戏固定人物右肩披肩更深、衣摆泥点位置稳定。</x:v>
      </x:c>
    </x:row>
    <x:row r="4" ht="34" hidden="0" customHeight="1">
      <x:c r="A4" s="33" t="str">
        <x:v>Asset ID</x:v>
      </x:c>
      <x:c r="B4" s="34" t="str">
        <x:v>Canonical Tag</x:v>
      </x:c>
      <x:c r="C4" s="34" t="str">
        <x:v>状态</x:v>
      </x:c>
      <x:c r="D4" s="34" t="str">
        <x:v>交付组件</x:v>
      </x:c>
      <x:c r="E4" s="34" t="str">
        <x:v>服装定义</x:v>
      </x:c>
      <x:c r="F4" s="34" t="str">
        <x:v>材质</x:v>
      </x:c>
      <x:c r="G4" s="34" t="str">
        <x:v>色彩</x:v>
      </x:c>
      <x:c r="H4" s="34" t="str">
        <x:v>结构锁点</x:v>
      </x:c>
      <x:c r="I4" s="34" t="str">
        <x:v>湿态/磨损锁点</x:v>
      </x:c>
      <x:c r="J4" s="34" t="str">
        <x:v>镜头用途</x:v>
      </x:c>
      <x:c r="K4" s="34" t="str">
        <x:v>父参考</x:v>
      </x:c>
      <x:c r="L4" s="34" t="str">
        <x:v>优先级</x:v>
      </x:c>
      <x:c r="M4" s="34" t="str">
        <x:v>制作状态</x:v>
      </x:c>
      <x:c r="N4" s="35" t="str">
        <x:v>备注</x:v>
      </x:c>
    </x:row>
    <x:row r="5" ht="15" hidden="0" customHeight="1">
      <x:c r="A5" s="39" t="str">
        <x:v>CST35-01</x:v>
      </x:c>
      <x:c r="B5" s="39" t="str">
        <x:v>@CST_FL35_YUE_DRY</x:v>
      </x:c>
      <x:c r="C5" s="39" t="str">
        <x:v>干态母版</x:v>
      </x:c>
      <x:c r="D5" s="27" t="str">
        <x:v>穿着全身正/侧/背</x:v>
      </x:c>
      <x:c r="E5" s="27" t="str">
        <x:v>灰绿交领右衽长衣；烟灰内层；暗赭细带；短深褐雨披</x:v>
      </x:c>
      <x:c r="F5" s="27" t="str">
        <x:v>苎麻/麻布/木簪</x:v>
      </x:c>
      <x:c r="G5" s="27" t="str">
        <x:v>低饱和灰绿、烟灰、暗赭、深褐</x:v>
      </x:c>
      <x:c r="H5" s="27" t="str">
        <x:v>左襟压右襟；腰带结位置固定；鞋和下裳完整</x:v>
      </x:c>
      <x:c r="I5" s="27" t="str">
        <x:v>衣缘自然磨损；无泥点扩散</x:v>
      </x:c>
      <x:c r="J5" s="27" t="str">
        <x:v>角色白底定妆</x:v>
      </x:c>
      <x:c r="K5" s="27" t="str">
        <x:v>@FL35_ROOT</x:v>
      </x:c>
      <x:c r="L5" s="39" t="str">
        <x:v>P0</x:v>
      </x:c>
      <x:c r="M5" s="39" t="str">
        <x:v>未开始</x:v>
      </x:c>
      <x:c r="N5" s="27" t="str">
        <x:v>先锁干态结构</x:v>
      </x:c>
    </x:row>
    <x:row r="6" ht="15" hidden="0" customHeight="1">
      <x:c r="A6" s="39" t="str">
        <x:v>CST35-02</x:v>
      </x:c>
      <x:c r="B6" s="39" t="str">
        <x:v>@CST_FL35_FLATLAY</x:v>
      </x:c>
      <x:c r="C6" s="39" t="str">
        <x:v>干态拆分</x:v>
      </x:c>
      <x:c r="D6" s="27" t="str">
        <x:v>人台+平铺部件</x:v>
      </x:c>
      <x:c r="E6" s="27" t="str">
        <x:v>衣、内层、带、披肩、下裳、鞋分开显示</x:v>
      </x:c>
      <x:c r="F6" s="27" t="str">
        <x:v>同 CST35-01</x:v>
      </x:c>
      <x:c r="G6" s="27" t="str">
        <x:v>同 CST35-01</x:v>
      </x:c>
      <x:c r="H6" s="27" t="str">
        <x:v>缝线、领襟、袖构、带结清楚</x:v>
      </x:c>
      <x:c r="I6" s="27" t="str">
        <x:v>边缘磨损位置记录</x:v>
      </x:c>
      <x:c r="J6" s="27" t="str">
        <x:v>纠正穿着与镜像错误</x:v>
      </x:c>
      <x:c r="K6" s="27" t="str">
        <x:v>@CST_FL35_YUE_DRY</x:v>
      </x:c>
      <x:c r="L6" s="39" t="str">
        <x:v>P1</x:v>
      </x:c>
      <x:c r="M6" s="39" t="str">
        <x:v>未开始</x:v>
      </x:c>
      <x:c r="N6" s="27" t="str">
        <x:v>无装饰文字</x:v>
      </x:c>
    </x:row>
    <x:row r="7" ht="15" hidden="0" customHeight="1">
      <x:c r="A7" s="39" t="str">
        <x:v>CST35-03</x:v>
      </x:c>
      <x:c r="B7" s="39" t="str">
        <x:v>@CST_FL35_YUE_WET</x:v>
      </x:c>
      <x:c r="C7" s="39" t="str">
        <x:v>雨湿母版</x:v>
      </x:c>
      <x:c r="D7" s="27" t="str">
        <x:v>穿着全身正/侧/背</x:v>
      </x:c>
      <x:c r="E7" s="27" t="str">
        <x:v>保持干态款式，仅增加雨湿</x:v>
      </x:c>
      <x:c r="F7" s="27" t="str">
        <x:v>吸水苎麻、湿木、泥</x:v>
      </x:c>
      <x:c r="G7" s="27" t="str">
        <x:v>整体略深；右肩披肩最深</x:v>
      </x:c>
      <x:c r="H7" s="27" t="str">
        <x:v>右衽、带结和袖长不得变化</x:v>
      </x:c>
      <x:c r="I7" s="27" t="str">
        <x:v>人物右肩更深；衣摆固定泥点；边缘湿磨损</x:v>
      </x:c>
      <x:c r="J7" s="27" t="str">
        <x:v>S02-04 至 S02-06</x:v>
      </x:c>
      <x:c r="K7" s="27" t="str">
        <x:v>@CST_FL35_YUE_DRY</x:v>
      </x:c>
      <x:c r="L7" s="39" t="str">
        <x:v>P0</x:v>
      </x:c>
      <x:c r="M7" s="39" t="str">
        <x:v>未开始</x:v>
      </x:c>
      <x:c r="N7" s="27" t="str">
        <x:v>湿态不得生成塑料反光</x:v>
      </x:c>
    </x:row>
    <x:row r="8" ht="15" hidden="0" customHeight="1">
      <x:c r="A8" s="39" t="str">
        <x:v>CST35-04</x:v>
      </x:c>
      <x:c r="B8" s="39" t="str">
        <x:v>@CST_FL35_WET_MACRO</x:v>
      </x:c>
      <x:c r="C8" s="39" t="str">
        <x:v>雨湿微距</x:v>
      </x:c>
      <x:c r="D8" s="27" t="str">
        <x:v>领襟/右肩/袖口/衣摆四宫格</x:v>
      </x:c>
      <x:c r="E8" s="27" t="str">
        <x:v>展示吸水、纤维与泥点</x:v>
      </x:c>
      <x:c r="F8" s="27" t="str">
        <x:v>苎麻、麻布、泥水</x:v>
      </x:c>
      <x:c r="G8" s="27" t="str">
        <x:v>冷灰高光、无亮膜</x:v>
      </x:c>
      <x:c r="H8" s="27" t="str">
        <x:v>衣纹方向与母版对应</x:v>
      </x:c>
      <x:c r="I8" s="27" t="str">
        <x:v>泥点坐标可追踪</x:v>
      </x:c>
      <x:c r="J8" s="27" t="str">
        <x:v>修图与视频稳定参考</x:v>
      </x:c>
      <x:c r="K8" s="27" t="str">
        <x:v>@CST_FL35_YUE_WET</x:v>
      </x:c>
      <x:c r="L8" s="39" t="str">
        <x:v>P1</x:v>
      </x:c>
      <x:c r="M8" s="39" t="str">
        <x:v>未开始</x:v>
      </x:c>
      <x:c r="N8" s="27" t="str">
        <x:v>无皮革雨衣质感</x:v>
      </x:c>
    </x:row>
    <x:row r="9" ht="21.600000381469727" hidden="0" customHeight="1">
      <x:c r="A9" s="39" t="str">
        <x:v>CST35-05</x:v>
      </x:c>
      <x:c r="B9" s="39" t="str">
        <x:v>@CST_FL35_CONTINUITY</x:v>
      </x:c>
      <x:c r="C9" s="39" t="str">
        <x:v>连续性卡</x:v>
      </x:c>
      <x:c r="D9" s="27" t="str">
        <x:v>干湿对照+人物自身左右标注</x:v>
      </x:c>
      <x:c r="E9" s="27" t="str">
        <x:v>同一服装在干/湿状态下并排</x:v>
      </x:c>
      <x:c r="F9" s="27" t="str">
        <x:v>同上</x:v>
      </x:c>
      <x:c r="G9" s="27" t="str">
        <x:v>同上</x:v>
      </x:c>
      <x:c r="H9" s="27" t="str">
        <x:v>明确人物左襟/右襟、右肩、带结</x:v>
      </x:c>
      <x:c r="I9" s="27" t="str">
        <x:v>记录泥点和磨损位置</x:v>
      </x:c>
      <x:c r="J9" s="27" t="str">
        <x:v>镜头连续性审核</x:v>
      </x:c>
      <x:c r="K9" s="27" t="str">
        <x:v>@CST_FL35_YUE_DRY + @CST_FL35_YUE_WET</x:v>
      </x:c>
      <x:c r="L9" s="39" t="str">
        <x:v>P0</x:v>
      </x:c>
      <x:c r="M9" s="39" t="str">
        <x:v>未开始</x:v>
      </x:c>
      <x:c r="N9" s="27" t="str">
        <x:v>父分支使用的唯一服装联系表</x:v>
      </x:c>
    </x:row>
  </x:sheetData>
  <x:mergeCells>
    <x:mergeCell ref="A1:N1"/>
    <x:mergeCell ref="A2:N2"/>
  </x:mergeCells>
  <x:conditionalFormatting sqref="M5:M9">
    <x:cfRule type="containsText" dxfId="10" priority="1" operator="containsText" text="已通过"/>
    <x:cfRule type="containsText" dxfId="11" priority="2" operator="containsText" text="待复核"/>
    <x:cfRule type="containsText" dxfId="12" priority="3" operator="containsText" text="需返工"/>
    <x:cfRule type="containsText" dxfId="13" priority="4" operator="containsText" text="阻塞"/>
  </x:conditionalFormatting>
  <x:dataValidations count="2">
    <x:dataValidation type="list" sqref="M5:M9">
      <x:formula1>"未开始,制作中,待复核,已通过,需返工,阻塞"</x:formula1>
    </x:dataValidation>
    <x:dataValidation type="list" sqref="L5:L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0729c148c2495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22" hidden="0" customWidth="1"/>
    <x:col min="4" max="4" width="41" hidden="0" customWidth="1"/>
    <x:col min="5" max="5" width="29" hidden="0" customWidth="1"/>
    <x:col min="6" max="6" width="13" hidden="0" customWidth="1"/>
    <x:col min="7" max="7" width="18" hidden="0" customWidth="1"/>
    <x:col min="8" max="8" width="14" hidden="0" customWidth="1"/>
    <x:col min="9" max="9" width="11" hidden="0" customWidth="1"/>
    <x:col min="10" max="10" width="25" hidden="0" customWidth="1"/>
    <x:col min="11" max="11" width="13" hidden="0" customWidth="1"/>
    <x:col min="12" max="12" width="13" hidden="0" customWidth="1"/>
  </x:cols>
  <x:sheetData>
    <x:row r="1" ht="34" customHeight="1">
      <x:c r="A1" s="3" t="str">
        <x:v>FL35 根身份验收表</x:v>
      </x:c>
      <x:c r="B1" s="3" t="str">
        <x:v>FL35 根身份验收表</x:v>
      </x:c>
      <x:c r="C1" s="3" t="str">
        <x:v>FL35 根身份验收表</x:v>
      </x:c>
      <x:c r="D1" s="3" t="str">
        <x:v>FL35 根身份验收表</x:v>
      </x:c>
      <x:c r="E1" s="3" t="str">
        <x:v>FL35 根身份验收表</x:v>
      </x:c>
      <x:c r="F1" s="3" t="str">
        <x:v>FL35 根身份验收表</x:v>
      </x:c>
      <x:c r="G1" s="3" t="str">
        <x:v>FL35 根身份验收表</x:v>
      </x:c>
      <x:c r="H1" s="3" t="str">
        <x:v>FL35 根身份验收表</x:v>
      </x:c>
      <x:c r="I1" s="3" t="str">
        <x:v>FL35 根身份验收表</x:v>
      </x:c>
      <x:c r="J1" s="3" t="str">
        <x:v>FL35 根身份验收表</x:v>
      </x:c>
      <x:c r="K1" s="3" t="str">
        <x:v>FL35 根身份验收表</x:v>
      </x:c>
      <x:c r="L1" s="3" t="str">
        <x:v>FL35 根身份验收表</x:v>
      </x:c>
    </x:row>
    <x:row r="2" ht="32" customHeight="1">
      <x:c r="A2" s="7" t="str">
        <x:v>所有“硬阻断”项目必须为“已通过”，FL35 身份闸门才成立；证据路径必须指向批准图或联系表。</x:v>
      </x:c>
      <x:c r="B2" s="7" t="str">
        <x:v>所有“硬阻断”项目必须为“已通过”，FL35 身份闸门才成立；证据路径必须指向批准图或联系表。</x:v>
      </x:c>
      <x:c r="C2" s="7" t="str">
        <x:v>所有“硬阻断”项目必须为“已通过”，FL35 身份闸门才成立；证据路径必须指向批准图或联系表。</x:v>
      </x:c>
      <x:c r="D2" s="7" t="str">
        <x:v>所有“硬阻断”项目必须为“已通过”，FL35 身份闸门才成立；证据路径必须指向批准图或联系表。</x:v>
      </x:c>
      <x:c r="E2" s="7" t="str">
        <x:v>所有“硬阻断”项目必须为“已通过”，FL35 身份闸门才成立；证据路径必须指向批准图或联系表。</x:v>
      </x:c>
      <x:c r="F2" s="7" t="str">
        <x:v>所有“硬阻断”项目必须为“已通过”，FL35 身份闸门才成立；证据路径必须指向批准图或联系表。</x:v>
      </x:c>
      <x:c r="G2" s="7" t="str">
        <x:v>所有“硬阻断”项目必须为“已通过”，FL35 身份闸门才成立；证据路径必须指向批准图或联系表。</x:v>
      </x:c>
      <x:c r="H2" s="7" t="str">
        <x:v>所有“硬阻断”项目必须为“已通过”，FL35 身份闸门才成立；证据路径必须指向批准图或联系表。</x:v>
      </x:c>
      <x:c r="I2" s="7" t="str">
        <x:v>所有“硬阻断”项目必须为“已通过”，FL35 身份闸门才成立；证据路径必须指向批准图或联系表。</x:v>
      </x:c>
      <x:c r="J2" s="7" t="str">
        <x:v>所有“硬阻断”项目必须为“已通过”，FL35 身份闸门才成立；证据路径必须指向批准图或联系表。</x:v>
      </x:c>
      <x:c r="K2" s="7" t="str">
        <x:v>所有“硬阻断”项目必须为“已通过”，FL35 身份闸门才成立；证据路径必须指向批准图或联系表。</x:v>
      </x:c>
      <x:c r="L2" s="7" t="str">
        <x:v>所有“硬阻断”项目必须为“已通过”，FL35 身份闸门才成立；证据路径必须指向批准图或联系表。</x:v>
      </x:c>
    </x:row>
    <x:row r="4" ht="34" hidden="0" customHeight="1">
      <x:c r="A4" s="33" t="str">
        <x:v>Check ID</x:v>
      </x:c>
      <x:c r="B4" s="34" t="str">
        <x:v>范围</x:v>
      </x:c>
      <x:c r="C4" s="34" t="str">
        <x:v>检查项</x:v>
      </x:c>
      <x:c r="D4" s="34" t="str">
        <x:v>通过标准</x:v>
      </x:c>
      <x:c r="E4" s="34" t="str">
        <x:v>检查方法</x:v>
      </x:c>
      <x:c r="F4" s="34" t="str">
        <x:v>严重级别</x:v>
      </x:c>
      <x:c r="G4" s="34" t="str">
        <x:v>阻断对象</x:v>
      </x:c>
      <x:c r="H4" s="34" t="str">
        <x:v>来源</x:v>
      </x:c>
      <x:c r="I4" s="34" t="str">
        <x:v>状态</x:v>
      </x:c>
      <x:c r="J4" s="34" t="str">
        <x:v>证据路径</x:v>
      </x:c>
      <x:c r="K4" s="34" t="str">
        <x:v>审核人</x:v>
      </x:c>
      <x:c r="L4" s="35" t="str">
        <x:v>复核日期</x:v>
      </x:c>
    </x:row>
    <x:row r="5" ht="15" hidden="0" customHeight="1">
      <x:c r="A5" s="39" t="str">
        <x:v>QA-001</x:v>
      </x:c>
      <x:c r="B5" s="39" t="str">
        <x:v>根脸</x:v>
      </x:c>
      <x:c r="C5" s="27" t="str">
        <x:v>脸型</x:v>
      </x:c>
      <x:c r="D5" s="27" t="str">
        <x:v>长椭圆脸；高颧但不过度；不同角度保持同一头骨</x:v>
      </x:c>
      <x:c r="E5" s="27" t="str">
        <x:v>正面/45°/侧面叠图</x:v>
      </x:c>
      <x:c r="F5" s="39" t="str">
        <x:v>硬阻断</x:v>
      </x:c>
      <x:c r="G5" s="39" t="str">
        <x:v>全部派生</x:v>
      </x:c>
      <x:c r="H5" s="39" t="str">
        <x:v>02 角色卡</x:v>
      </x:c>
      <x:c r="I5" s="39" t="str">
        <x:v>未开始</x:v>
      </x:c>
      <x:c r="J5" s="27" t="str"/>
      <x:c r="K5" s="27" t="str"/>
      <x:c r="L5" s="36"/>
    </x:row>
    <x:row r="6" ht="15" hidden="0" customHeight="1">
      <x:c r="A6" s="39" t="str">
        <x:v>QA-002</x:v>
      </x:c>
      <x:c r="B6" s="39" t="str">
        <x:v>根脸</x:v>
      </x:c>
      <x:c r="C6" s="27" t="str">
        <x:v>人物左眉断点</x:v>
      </x:c>
      <x:c r="D6" s="27" t="str">
        <x:v>断点位于人物自身左眉尾；正面图在画面右侧；大小自然</x:v>
      </x:c>
      <x:c r="E6" s="27" t="str">
        <x:v>联系表标注左右并放大检查</x:v>
      </x:c>
      <x:c r="F6" s="39" t="str">
        <x:v>硬阻断</x:v>
      </x:c>
      <x:c r="G6" s="39" t="str">
        <x:v>全部派生</x:v>
      </x:c>
      <x:c r="H6" s="39" t="str">
        <x:v>02 角色卡</x:v>
      </x:c>
      <x:c r="I6" s="39" t="str">
        <x:v>未开始</x:v>
      </x:c>
      <x:c r="J6" s="27" t="str"/>
      <x:c r="K6" s="27" t="str"/>
      <x:c r="L6" s="36"/>
    </x:row>
    <x:row r="7" ht="15" hidden="0" customHeight="1">
      <x:c r="A7" s="39" t="str">
        <x:v>QA-003</x:v>
      </x:c>
      <x:c r="B7" s="39" t="str">
        <x:v>根脸</x:v>
      </x:c>
      <x:c r="C7" s="27" t="str">
        <x:v>禁止镜像</x:v>
      </x:c>
      <x:c r="D7" s="27" t="str">
        <x:v>左右45°/侧面均为独立生成；眉断点不换侧</x:v>
      </x:c>
      <x:c r="E7" s="27" t="str">
        <x:v>检查元数据与不对称标志</x:v>
      </x:c>
      <x:c r="F7" s="39" t="str">
        <x:v>硬阻断</x:v>
      </x:c>
      <x:c r="G7" s="39" t="str">
        <x:v>全部派生</x:v>
      </x:c>
      <x:c r="H7" s="39" t="str">
        <x:v>父分支要求</x:v>
      </x:c>
      <x:c r="I7" s="39" t="str">
        <x:v>未开始</x:v>
      </x:c>
      <x:c r="J7" s="27" t="str"/>
      <x:c r="K7" s="27" t="str"/>
      <x:c r="L7" s="36"/>
    </x:row>
    <x:row r="8" ht="15" hidden="0" customHeight="1">
      <x:c r="A8" s="39" t="str">
        <x:v>QA-004</x:v>
      </x:c>
      <x:c r="B8" s="39" t="str">
        <x:v>根脸</x:v>
      </x:c>
      <x:c r="C8" s="27" t="str">
        <x:v>眼睛/眼距</x:v>
      </x:c>
      <x:c r="D8" s="27" t="str">
        <x:v>内敛杏眼、眼距稳定、左右对称自然</x:v>
      </x:c>
      <x:c r="E8" s="27" t="str">
        <x:v>眼角与瞳孔辅助线</x:v>
      </x:c>
      <x:c r="F8" s="39" t="str">
        <x:v>硬阻断</x:v>
      </x:c>
      <x:c r="G8" s="39" t="str">
        <x:v>年龄派生</x:v>
      </x:c>
      <x:c r="H8" s="39" t="str">
        <x:v>02 角色卡</x:v>
      </x:c>
      <x:c r="I8" s="39" t="str">
        <x:v>未开始</x:v>
      </x:c>
      <x:c r="J8" s="27" t="str"/>
      <x:c r="K8" s="27" t="str"/>
      <x:c r="L8" s="36"/>
    </x:row>
    <x:row r="9" ht="15" hidden="0" customHeight="1">
      <x:c r="A9" s="39" t="str">
        <x:v>QA-005</x:v>
      </x:c>
      <x:c r="B9" s="39" t="str">
        <x:v>根脸</x:v>
      </x:c>
      <x:c r="C9" s="27" t="str">
        <x:v>鼻梁与鼻尖</x:v>
      </x:c>
      <x:c r="D9" s="27" t="str">
        <x:v>直鼻梁、圆钝鼻尖；正侧面一致</x:v>
      </x:c>
      <x:c r="E9" s="27" t="str">
        <x:v>正侧面轮廓对照</x:v>
      </x:c>
      <x:c r="F9" s="39" t="str">
        <x:v>硬阻断</x:v>
      </x:c>
      <x:c r="G9" s="39" t="str">
        <x:v>年龄派生</x:v>
      </x:c>
      <x:c r="H9" s="39" t="str">
        <x:v>02 角色卡</x:v>
      </x:c>
      <x:c r="I9" s="39" t="str">
        <x:v>未开始</x:v>
      </x:c>
      <x:c r="J9" s="27" t="str"/>
      <x:c r="K9" s="27" t="str"/>
      <x:c r="L9" s="36"/>
    </x:row>
    <x:row r="10" ht="15" hidden="0" customHeight="1">
      <x:c r="A10" s="39" t="str">
        <x:v>QA-006</x:v>
      </x:c>
      <x:c r="B10" s="39" t="str">
        <x:v>根脸</x:v>
      </x:c>
      <x:c r="C10" s="27" t="str">
        <x:v>薄唇/窄下颌</x:v>
      </x:c>
      <x:c r="D10" s="27" t="str">
        <x:v>薄唇自然闭合；下颌窄而有力</x:v>
      </x:c>
      <x:c r="E10" s="27" t="str">
        <x:v>三视图对照</x:v>
      </x:c>
      <x:c r="F10" s="39" t="str">
        <x:v>硬阻断</x:v>
      </x:c>
      <x:c r="G10" s="39" t="str">
        <x:v>年龄派生</x:v>
      </x:c>
      <x:c r="H10" s="39" t="str">
        <x:v>02 角色卡</x:v>
      </x:c>
      <x:c r="I10" s="39" t="str">
        <x:v>未开始</x:v>
      </x:c>
      <x:c r="J10" s="27" t="str"/>
      <x:c r="K10" s="27" t="str"/>
      <x:c r="L10" s="36"/>
    </x:row>
    <x:row r="11" ht="15" hidden="0" customHeight="1">
      <x:c r="A11" s="39" t="str">
        <x:v>QA-007</x:v>
      </x:c>
      <x:c r="B11" s="39" t="str">
        <x:v>妆发</x:v>
      </x:c>
      <x:c r="C11" s="27" t="str">
        <x:v>年龄与皮肤</x:v>
      </x:c>
      <x:c r="D11" s="27" t="str">
        <x:v>35岁；小麦肤色；真实湿气疲惫；无塑料皮和美颜</x:v>
      </x:c>
      <x:c r="E11" s="27" t="str">
        <x:v>中性光原图100%查看</x:v>
      </x:c>
      <x:c r="F11" s="39" t="str">
        <x:v>硬阻断</x:v>
      </x:c>
      <x:c r="G11" s="39" t="str">
        <x:v>年龄派生</x:v>
      </x:c>
      <x:c r="H11" s="39" t="str">
        <x:v>02 角色卡</x:v>
      </x:c>
      <x:c r="I11" s="39" t="str">
        <x:v>未开始</x:v>
      </x:c>
      <x:c r="J11" s="27" t="str"/>
      <x:c r="K11" s="27" t="str"/>
      <x:c r="L11" s="36"/>
    </x:row>
    <x:row r="12" ht="15" hidden="0" customHeight="1">
      <x:c r="A12" s="39" t="str">
        <x:v>QA-008</x:v>
      </x:c>
      <x:c r="B12" s="39" t="str">
        <x:v>妆发</x:v>
      </x:c>
      <x:c r="C12" s="27" t="str">
        <x:v>高髻与木簪</x:v>
      </x:c>
      <x:c r="D12" s="27" t="str">
        <x:v>黑发高髻；深褐木簪方向和高度在多视图一致</x:v>
      </x:c>
      <x:c r="E12" s="27" t="str">
        <x:v>前后侧四视图</x:v>
      </x:c>
      <x:c r="F12" s="39" t="str">
        <x:v>硬阻断</x:v>
      </x:c>
      <x:c r="G12" s="39" t="str">
        <x:v>全身/年龄派生</x:v>
      </x:c>
      <x:c r="H12" s="39" t="str">
        <x:v>02 角色卡</x:v>
      </x:c>
      <x:c r="I12" s="39" t="str">
        <x:v>未开始</x:v>
      </x:c>
      <x:c r="J12" s="27" t="str"/>
      <x:c r="K12" s="27" t="str"/>
      <x:c r="L12" s="36"/>
    </x:row>
    <x:row r="13" ht="15" hidden="0" customHeight="1">
      <x:c r="A13" s="39" t="str">
        <x:v>QA-009</x:v>
      </x:c>
      <x:c r="B13" s="39" t="str">
        <x:v>妆发</x:v>
      </x:c>
      <x:c r="C13" s="27" t="str">
        <x:v>胡须</x:v>
      </x:c>
      <x:c r="D13" s="27" t="str">
        <x:v>无须或仅极淡短须；不出现明显长须</x:v>
      </x:c>
      <x:c r="E13" s="27" t="str">
        <x:v>头部近看</x:v>
      </x:c>
      <x:c r="F13" s="39" t="str">
        <x:v>硬阻断</x:v>
      </x:c>
      <x:c r="G13" s="39" t="str">
        <x:v>年龄派生</x:v>
      </x:c>
      <x:c r="H13" s="39" t="str">
        <x:v>02 角色卡</x:v>
      </x:c>
      <x:c r="I13" s="39" t="str">
        <x:v>未开始</x:v>
      </x:c>
      <x:c r="J13" s="27" t="str"/>
      <x:c r="K13" s="27" t="str"/>
      <x:c r="L13" s="36"/>
    </x:row>
    <x:row r="14" ht="15" hidden="0" customHeight="1">
      <x:c r="A14" s="39" t="str">
        <x:v>QA-010</x:v>
      </x:c>
      <x:c r="B14" s="39" t="str">
        <x:v>全身</x:v>
      </x:c>
      <x:c r="C14" s="27" t="str">
        <x:v>身高体态</x:v>
      </x:c>
      <x:c r="D14" s="27" t="str">
        <x:v>约178cm；清瘦不羸弱；肩平、重心稳；鞋与下裳完整</x:v>
      </x:c>
      <x:c r="E14" s="27" t="str">
        <x:v>全身标尺与正侧背对照</x:v>
      </x:c>
      <x:c r="F14" s="39" t="str">
        <x:v>硬阻断</x:v>
      </x:c>
      <x:c r="G14" s="39" t="str">
        <x:v>剧情适配</x:v>
      </x:c>
      <x:c r="H14" s="39" t="str">
        <x:v>02 角色卡</x:v>
      </x:c>
      <x:c r="I14" s="39" t="str">
        <x:v>未开始</x:v>
      </x:c>
      <x:c r="J14" s="27" t="str"/>
      <x:c r="K14" s="27" t="str"/>
      <x:c r="L14" s="36"/>
    </x:row>
    <x:row r="15" ht="15" hidden="0" customHeight="1">
      <x:c r="A15" s="39" t="str">
        <x:v>QA-011</x:v>
      </x:c>
      <x:c r="B15" s="39" t="str">
        <x:v>服装</x:v>
      </x:c>
      <x:c r="C15" s="27" t="str">
        <x:v>右衽</x:v>
      </x:c>
      <x:c r="D15" s="27" t="str">
        <x:v>人物左襟压人物右襟；所有视角和雨态均不翻转</x:v>
      </x:c>
      <x:c r="E15" s="27" t="str">
        <x:v>平铺结构+正面穿着</x:v>
      </x:c>
      <x:c r="F15" s="39" t="str">
        <x:v>硬阻断</x:v>
      </x:c>
      <x:c r="G15" s="39" t="str">
        <x:v>全部镜头</x:v>
      </x:c>
      <x:c r="H15" s="39" t="str">
        <x:v>02/04</x:v>
      </x:c>
      <x:c r="I15" s="39" t="str">
        <x:v>未开始</x:v>
      </x:c>
      <x:c r="J15" s="27" t="str"/>
      <x:c r="K15" s="27" t="str"/>
      <x:c r="L15" s="36"/>
    </x:row>
    <x:row r="16" ht="15" hidden="0" customHeight="1">
      <x:c r="A16" s="39" t="str">
        <x:v>QA-012</x:v>
      </x:c>
      <x:c r="B16" s="39" t="str">
        <x:v>服装</x:v>
      </x:c>
      <x:c r="C16" s="27" t="str">
        <x:v>配色与层次</x:v>
      </x:c>
      <x:c r="D16" s="27" t="str">
        <x:v>灰绿外衣、烟灰内层、暗赭细带、深褐短披肩；低饱和</x:v>
      </x:c>
      <x:c r="E16" s="27" t="str">
        <x:v>色板并排</x:v>
      </x:c>
      <x:c r="F16" s="39" t="str">
        <x:v>主要</x:v>
      </x:c>
      <x:c r="G16" s="39" t="str">
        <x:v>剧情适配</x:v>
      </x:c>
      <x:c r="H16" s="39" t="str">
        <x:v>02/04</x:v>
      </x:c>
      <x:c r="I16" s="39" t="str">
        <x:v>未开始</x:v>
      </x:c>
      <x:c r="J16" s="27" t="str"/>
      <x:c r="K16" s="27" t="str"/>
      <x:c r="L16" s="36"/>
    </x:row>
    <x:row r="17" ht="15" hidden="0" customHeight="1">
      <x:c r="A17" s="39" t="str">
        <x:v>QA-013</x:v>
      </x:c>
      <x:c r="B17" s="39" t="str">
        <x:v>服装</x:v>
      </x:c>
      <x:c r="C17" s="27" t="str">
        <x:v>历史红线</x:v>
      </x:c>
      <x:c r="D17" s="27" t="str">
        <x:v>无华丽玉佩、大冠、铠甲、后世帽冠、反光缎面</x:v>
      </x:c>
      <x:c r="E17" s="27" t="str">
        <x:v>100%全身查看</x:v>
      </x:c>
      <x:c r="F17" s="39" t="str">
        <x:v>硬阻断</x:v>
      </x:c>
      <x:c r="G17" s="39" t="str">
        <x:v>全部镜头</x:v>
      </x:c>
      <x:c r="H17" s="39" t="str">
        <x:v>02/04</x:v>
      </x:c>
      <x:c r="I17" s="39" t="str">
        <x:v>未开始</x:v>
      </x:c>
      <x:c r="J17" s="27" t="str"/>
      <x:c r="K17" s="27" t="str"/>
      <x:c r="L17" s="36"/>
    </x:row>
    <x:row r="18" ht="15" hidden="0" customHeight="1">
      <x:c r="A18" s="39" t="str">
        <x:v>QA-014</x:v>
      </x:c>
      <x:c r="B18" s="39" t="str">
        <x:v>雨态</x:v>
      </x:c>
      <x:c r="C18" s="27" t="str">
        <x:v>人物右肩</x:v>
      </x:c>
      <x:c r="D18" s="27" t="str">
        <x:v>人物右肩披肩颜色更深；不是画面右肩</x:v>
      </x:c>
      <x:c r="E18" s="27" t="str">
        <x:v>连续性卡标注人物左右</x:v>
      </x:c>
      <x:c r="F18" s="39" t="str">
        <x:v>硬阻断</x:v>
      </x:c>
      <x:c r="G18" s="39" t="str">
        <x:v>S02-04~06</x:v>
      </x:c>
      <x:c r="H18" s="39" t="str">
        <x:v>02/05</x:v>
      </x:c>
      <x:c r="I18" s="39" t="str">
        <x:v>未开始</x:v>
      </x:c>
      <x:c r="J18" s="27" t="str"/>
      <x:c r="K18" s="27" t="str"/>
      <x:c r="L18" s="36"/>
    </x:row>
    <x:row r="19" ht="15" hidden="0" customHeight="1">
      <x:c r="A19" s="39" t="str">
        <x:v>QA-015</x:v>
      </x:c>
      <x:c r="B19" s="39" t="str">
        <x:v>雨态</x:v>
      </x:c>
      <x:c r="C19" s="27" t="str">
        <x:v>衣摆泥点</x:v>
      </x:c>
      <x:c r="D19" s="27" t="str">
        <x:v>泥点位置稳定、尺度真实、不随机跳动</x:v>
      </x:c>
      <x:c r="E19" s="27" t="str">
        <x:v>干湿对照与镜头对照</x:v>
      </x:c>
      <x:c r="F19" s="39" t="str">
        <x:v>硬阻断</x:v>
      </x:c>
      <x:c r="G19" s="39" t="str">
        <x:v>S02-04~06</x:v>
      </x:c>
      <x:c r="H19" s="39" t="str">
        <x:v>02/05</x:v>
      </x:c>
      <x:c r="I19" s="39" t="str">
        <x:v>未开始</x:v>
      </x:c>
      <x:c r="J19" s="27" t="str"/>
      <x:c r="K19" s="27" t="str"/>
      <x:c r="L19" s="36"/>
    </x:row>
    <x:row r="20" ht="15" hidden="0" customHeight="1">
      <x:c r="A20" s="39" t="str">
        <x:v>QA-016</x:v>
      </x:c>
      <x:c r="B20" s="39" t="str">
        <x:v>表情</x:v>
      </x:c>
      <x:c r="C20" s="27" t="str">
        <x:v>观察状态</x:v>
      </x:c>
      <x:c r="D20" s="27" t="str">
        <x:v>先看雨/局势，再判断；无英雄摆拍、冷笑和夸张皱眉</x:v>
      </x:c>
      <x:c r="E20" s="27" t="str">
        <x:v>表情板与S02-04证明帧</x:v>
      </x:c>
      <x:c r="F20" s="39" t="str">
        <x:v>主要</x:v>
      </x:c>
      <x:c r="G20" s="39" t="str">
        <x:v>剧情适配</x:v>
      </x:c>
      <x:c r="H20" s="39" t="str">
        <x:v>02/05/06</x:v>
      </x:c>
      <x:c r="I20" s="39" t="str">
        <x:v>未开始</x:v>
      </x:c>
      <x:c r="J20" s="27" t="str"/>
      <x:c r="K20" s="27" t="str"/>
      <x:c r="L20" s="36"/>
    </x:row>
    <x:row r="21" ht="15" hidden="0" customHeight="1">
      <x:c r="A21" s="39" t="str">
        <x:v>QA-017</x:v>
      </x:c>
      <x:c r="B21" s="39" t="str">
        <x:v>表情</x:v>
      </x:c>
      <x:c r="C21" s="27" t="str">
        <x:v>抬眼/收下巴</x:v>
      </x:c>
      <x:c r="D21" s="27" t="str">
        <x:v>只做细微眼神和下巴变化；骨相不变</x:v>
      </x:c>
      <x:c r="E21" s="27" t="str">
        <x:v>起止帧并排</x:v>
      </x:c>
      <x:c r="F21" s="39" t="str">
        <x:v>硬阻断</x:v>
      </x:c>
      <x:c r="G21" s="39" t="str">
        <x:v>S02-04/06</x:v>
      </x:c>
      <x:c r="H21" s="39" t="str">
        <x:v>02/06</x:v>
      </x:c>
      <x:c r="I21" s="39" t="str">
        <x:v>未开始</x:v>
      </x:c>
      <x:c r="J21" s="27" t="str"/>
      <x:c r="K21" s="27" t="str"/>
      <x:c r="L21" s="36"/>
    </x:row>
    <x:row r="22" ht="15" hidden="0" customHeight="1">
      <x:c r="A22" s="39" t="str">
        <x:v>QA-018</x:v>
      </x:c>
      <x:c r="B22" s="39" t="str">
        <x:v>手势</x:v>
      </x:c>
      <x:c r="C22" s="27" t="str">
        <x:v>五指与接触</x:v>
      </x:c>
      <x:c r="D22" s="27" t="str">
        <x:v>五指数量正确、关节自然、食指轻触竹简边缘不穿模</x:v>
      </x:c>
      <x:c r="E22" s="27" t="str">
        <x:v>局部100%逐指检查</x:v>
      </x:c>
      <x:c r="F22" s="39" t="str">
        <x:v>硬阻断</x:v>
      </x:c>
      <x:c r="G22" s="39" t="str">
        <x:v>S02-05</x:v>
      </x:c>
      <x:c r="H22" s="39" t="str">
        <x:v>02/05/06</x:v>
      </x:c>
      <x:c r="I22" s="39" t="str">
        <x:v>未开始</x:v>
      </x:c>
      <x:c r="J22" s="27" t="str"/>
      <x:c r="K22" s="27" t="str"/>
      <x:c r="L22" s="36"/>
    </x:row>
    <x:row r="23" ht="15" hidden="0" customHeight="1">
      <x:c r="A23" s="39" t="str">
        <x:v>QA-019</x:v>
      </x:c>
      <x:c r="B23" s="39" t="str">
        <x:v>手势</x:v>
      </x:c>
      <x:c r="C23" s="27" t="str">
        <x:v>动作终点</x:v>
      </x:c>
      <x:c r="D23" s="27" t="str">
        <x:v>食指触边后停止；竹简不翻动</x:v>
      </x:c>
      <x:c r="E23" s="27" t="str">
        <x:v>起始/结束关键帧</x:v>
      </x:c>
      <x:c r="F23" s="39" t="str">
        <x:v>硬阻断</x:v>
      </x:c>
      <x:c r="G23" s="39" t="str">
        <x:v>S02-05</x:v>
      </x:c>
      <x:c r="H23" s="39" t="str">
        <x:v>02/05/06</x:v>
      </x:c>
      <x:c r="I23" s="39" t="str">
        <x:v>未开始</x:v>
      </x:c>
      <x:c r="J23" s="27" t="str"/>
      <x:c r="K23" s="27" t="str"/>
      <x:c r="L23" s="36"/>
    </x:row>
    <x:row r="24" ht="15" hidden="0" customHeight="1">
      <x:c r="A24" s="39" t="str">
        <x:v>QA-020</x:v>
      </x:c>
      <x:c r="B24" s="39" t="str">
        <x:v>道具</x:v>
      </x:c>
      <x:c r="C24" s="27" t="str">
        <x:v>竹简时代</x:v>
      </x:c>
      <x:c r="D24" s="27" t="str">
        <x:v>窄竹片、麻绳编联；无纸、印刷体和现代文字</x:v>
      </x:c>
      <x:c r="E24" s="27" t="str">
        <x:v>P04参考+放大检查</x:v>
      </x:c>
      <x:c r="F24" s="39" t="str">
        <x:v>硬阻断</x:v>
      </x:c>
      <x:c r="G24" s="39" t="str">
        <x:v>S02-04/05</x:v>
      </x:c>
      <x:c r="H24" s="39" t="str">
        <x:v>04/05</x:v>
      </x:c>
      <x:c r="I24" s="39" t="str">
        <x:v>未开始</x:v>
      </x:c>
      <x:c r="J24" s="27" t="str"/>
      <x:c r="K24" s="27" t="str"/>
      <x:c r="L24" s="36"/>
    </x:row>
    <x:row r="25" ht="15" hidden="0" customHeight="1">
      <x:c r="A25" s="39" t="str">
        <x:v>QA-021</x:v>
      </x:c>
      <x:c r="B25" s="39" t="str">
        <x:v>证明帧</x:v>
      </x:c>
      <x:c r="C25" s="27" t="str">
        <x:v>S02-04身份稳定</x:v>
      </x:c>
      <x:c r="D25" s="27" t="str">
        <x:v>眉断点、鼻尖、下颌、发髻、右衽、雨态均通过</x:v>
      </x:c>
      <x:c r="E25" s="27" t="str">
        <x:v>与 @CAL_FL35_MASTER 叠图</x:v>
      </x:c>
      <x:c r="F25" s="39" t="str">
        <x:v>硬阻断</x:v>
      </x:c>
      <x:c r="G25" s="39" t="str">
        <x:v>父分支提交</x:v>
      </x:c>
      <x:c r="H25" s="39" t="str">
        <x:v>05</x:v>
      </x:c>
      <x:c r="I25" s="39" t="str">
        <x:v>未开始</x:v>
      </x:c>
      <x:c r="J25" s="27" t="str"/>
      <x:c r="K25" s="27" t="str"/>
      <x:c r="L25" s="36"/>
    </x:row>
    <x:row r="26" ht="15" hidden="0" customHeight="1">
      <x:c r="A26" s="39" t="str">
        <x:v>QA-022</x:v>
      </x:c>
      <x:c r="B26" s="39" t="str">
        <x:v>证明帧</x:v>
      </x:c>
      <x:c r="C26" s="27" t="str">
        <x:v>S02-06倒影</x:v>
      </x:c>
      <x:c r="D26" s="27" t="str">
        <x:v>必要时只显示轮廓和眼神方向；不因倒影扭曲根脸</x:v>
      </x:c>
      <x:c r="E26" s="27" t="str">
        <x:v>倒影前后对照</x:v>
      </x:c>
      <x:c r="F26" s="39" t="str">
        <x:v>主要</x:v>
      </x:c>
      <x:c r="G26" s="39" t="str">
        <x:v>视频适配</x:v>
      </x:c>
      <x:c r="H26" s="39" t="str">
        <x:v>05/06</x:v>
      </x:c>
      <x:c r="I26" s="39" t="str">
        <x:v>未开始</x:v>
      </x:c>
      <x:c r="J26" s="27" t="str"/>
      <x:c r="K26" s="27" t="str"/>
      <x:c r="L26" s="36"/>
    </x:row>
    <x:row r="27" ht="15" hidden="0" customHeight="1">
      <x:c r="A27" s="39" t="str">
        <x:v>QA-023</x:v>
      </x:c>
      <x:c r="B27" s="39" t="str">
        <x:v>交付</x:v>
      </x:c>
      <x:c r="C27" s="27" t="str">
        <x:v>联系表完整</x:v>
      </x:c>
      <x:c r="D27" s="27" t="str">
        <x:v>正面、45°、侧面、背面、全身、表情、手势、干湿态齐全</x:v>
      </x:c>
      <x:c r="E27" s="27" t="str">
        <x:v>资产ID逐项勾稽</x:v>
      </x:c>
      <x:c r="F27" s="39" t="str">
        <x:v>硬阻断</x:v>
      </x:c>
      <x:c r="G27" s="39" t="str">
        <x:v>FL45分支</x:v>
      </x:c>
      <x:c r="H27" s="39" t="str">
        <x:v>父分支要求</x:v>
      </x:c>
      <x:c r="I27" s="39" t="str">
        <x:v>未开始</x:v>
      </x:c>
      <x:c r="J27" s="27" t="str"/>
      <x:c r="K27" s="27" t="str"/>
      <x:c r="L27" s="36"/>
    </x:row>
    <x:row r="28" ht="21.600000381469727" hidden="0" customHeight="1">
      <x:c r="A28" s="39" t="str">
        <x:v>QA-024</x:v>
      </x:c>
      <x:c r="B28" s="39" t="str">
        <x:v>交付</x:v>
      </x:c>
      <x:c r="C28" s="27" t="str">
        <x:v>参数可追溯</x:v>
      </x:c>
      <x:c r="D28" s="27" t="str">
        <x:v>模型、seed、父参考、提示词、负面词、版本、修复记录齐全</x:v>
      </x:c>
      <x:c r="E28" s="27" t="str">
        <x:v>文件名与台账核对</x:v>
      </x:c>
      <x:c r="F28" s="39" t="str">
        <x:v>硬阻断</x:v>
      </x:c>
      <x:c r="G28" s="39" t="str">
        <x:v>FL45分支</x:v>
      </x:c>
      <x:c r="H28" s="39" t="str">
        <x:v>父分支要求</x:v>
      </x:c>
      <x:c r="I28" s="39" t="str">
        <x:v>未开始</x:v>
      </x:c>
      <x:c r="J28" s="27" t="str"/>
      <x:c r="K28" s="27" t="str"/>
      <x:c r="L28" s="36"/>
    </x:row>
    <x:row r="29">
      <x:c r="L29" s="37"/>
    </x:row>
    <x:row r="30">
      <x:c r="L30" s="37"/>
    </x:row>
    <x:row r="31">
      <x:c r="L31" s="37"/>
    </x:row>
    <x:row r="32">
      <x:c r="L32" s="37"/>
    </x:row>
    <x:row r="33">
      <x:c r="L33" s="37"/>
    </x:row>
    <x:row r="34">
      <x:c r="L34" s="37"/>
    </x:row>
    <x:row r="35">
      <x:c r="L35" s="37"/>
    </x:row>
    <x:row r="36">
      <x:c r="L36" s="37"/>
    </x:row>
    <x:row r="37">
      <x:c r="L37" s="37"/>
    </x:row>
    <x:row r="38">
      <x:c r="L38" s="37"/>
    </x:row>
    <x:row r="39">
      <x:c r="L39" s="37"/>
    </x:row>
    <x:row r="40">
      <x:c r="L40" s="37"/>
    </x:row>
    <x:row r="41">
      <x:c r="L41" s="37"/>
    </x:row>
    <x:row r="42">
      <x:c r="L42" s="37"/>
    </x:row>
    <x:row r="43">
      <x:c r="L43" s="37"/>
    </x:row>
    <x:row r="44">
      <x:c r="L44" s="37"/>
    </x:row>
    <x:row r="45">
      <x:c r="L45" s="37"/>
    </x:row>
    <x:row r="46">
      <x:c r="L46" s="37"/>
    </x:row>
    <x:row r="47">
      <x:c r="L47" s="37"/>
    </x:row>
    <x:row r="48">
      <x:c r="L48" s="37"/>
    </x:row>
    <x:row r="49">
      <x:c r="L49" s="37"/>
    </x:row>
    <x:row r="50">
      <x:c r="L50" s="37"/>
    </x:row>
    <x:row r="51">
      <x:c r="L51" s="37"/>
    </x:row>
    <x:row r="52">
      <x:c r="L52" s="37"/>
    </x:row>
    <x:row r="53">
      <x:c r="L53" s="37"/>
    </x:row>
    <x:row r="54">
      <x:c r="L54" s="37"/>
    </x:row>
    <x:row r="55">
      <x:c r="L55" s="37"/>
    </x:row>
    <x:row r="56">
      <x:c r="L56" s="37"/>
    </x:row>
    <x:row r="57">
      <x:c r="L57" s="37"/>
    </x:row>
    <x:row r="58">
      <x:c r="L58" s="37"/>
    </x:row>
    <x:row r="59">
      <x:c r="L59" s="37"/>
    </x:row>
    <x:row r="60">
      <x:c r="L60" s="37"/>
    </x:row>
  </x:sheetData>
  <x:mergeCells>
    <x:mergeCell ref="A1:L1"/>
    <x:mergeCell ref="A2:L2"/>
  </x:mergeCells>
  <x:conditionalFormatting sqref="I5:I28">
    <x:cfRule type="containsText" dxfId="14" priority="1" operator="containsText" text="已通过"/>
    <x:cfRule type="containsText" dxfId="15" priority="2" operator="containsText" text="待复核"/>
    <x:cfRule type="containsText" dxfId="16" priority="3" operator="containsText" text="需返工"/>
    <x:cfRule type="containsText" dxfId="17" priority="4" operator="containsText" text="阻塞"/>
  </x:conditionalFormatting>
  <x:dataValidations count="1">
    <x:dataValidation type="list" sqref="I5:I28">
      <x:formula1>"未开始,制作中,待复核,已通过,需返工,阻塞"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27cc4b04204b2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2" hidden="0" customWidth="1"/>
    <x:col min="3" max="3" width="23" hidden="0" customWidth="1"/>
    <x:col min="4" max="4" width="29" hidden="0" customWidth="1"/>
    <x:col min="5" max="5" width="32" hidden="0" customWidth="1"/>
    <x:col min="6" max="6" width="9" hidden="0" customWidth="1"/>
    <x:col min="7" max="7" width="9" hidden="0" customWidth="1"/>
    <x:col min="8" max="8" width="27" hidden="0" customWidth="1"/>
    <x:col min="9" max="9" width="31" hidden="0" customWidth="1"/>
    <x:col min="10" max="10" width="9" hidden="0" customWidth="1"/>
    <x:col min="11" max="11" width="11" hidden="0" customWidth="1"/>
    <x:col min="12" max="12" width="18" hidden="0" customWidth="1"/>
  </x:cols>
  <x:sheetData>
    <x:row r="1" ht="34" customHeight="1">
      <x:c r="A1" s="3" t="str">
        <x:v>FL35 首批生产队列</x:v>
      </x:c>
      <x:c r="B1" s="3" t="str">
        <x:v>FL35 首批生产队列</x:v>
      </x:c>
      <x:c r="C1" s="3" t="str">
        <x:v>FL35 首批生产队列</x:v>
      </x:c>
      <x:c r="D1" s="3" t="str">
        <x:v>FL35 首批生产队列</x:v>
      </x:c>
      <x:c r="E1" s="3" t="str">
        <x:v>FL35 首批生产队列</x:v>
      </x:c>
      <x:c r="F1" s="3" t="str">
        <x:v>FL35 首批生产队列</x:v>
      </x:c>
      <x:c r="G1" s="3" t="str">
        <x:v>FL35 首批生产队列</x:v>
      </x:c>
      <x:c r="H1" s="3" t="str">
        <x:v>FL35 首批生产队列</x:v>
      </x:c>
      <x:c r="I1" s="3" t="str">
        <x:v>FL35 首批生产队列</x:v>
      </x:c>
      <x:c r="J1" s="3" t="str">
        <x:v>FL35 首批生产队列</x:v>
      </x:c>
      <x:c r="K1" s="3" t="str">
        <x:v>FL35 首批生产队列</x:v>
      </x:c>
      <x:c r="L1" s="3" t="str">
        <x:v>FL35 首批生产队列</x:v>
      </x:c>
    </x:row>
    <x:row r="2" ht="32" customHeight="1">
      <x:c r="A2" s="7" t="str">
        <x:v>按顺序执行；首轮先锁根脸和转面，再上服装、全身、雨态、表情与手势。最后只制作一张 S02-04 证明帧，不批量铺剧情镜头。</x:v>
      </x:c>
      <x:c r="B2" s="7" t="str">
        <x:v>按顺序执行；首轮先锁根脸和转面，再上服装、全身、雨态、表情与手势。最后只制作一张 S02-04 证明帧，不批量铺剧情镜头。</x:v>
      </x:c>
      <x:c r="C2" s="7" t="str">
        <x:v>按顺序执行；首轮先锁根脸和转面，再上服装、全身、雨态、表情与手势。最后只制作一张 S02-04 证明帧，不批量铺剧情镜头。</x:v>
      </x:c>
      <x:c r="D2" s="7" t="str">
        <x:v>按顺序执行；首轮先锁根脸和转面，再上服装、全身、雨态、表情与手势。最后只制作一张 S02-04 证明帧，不批量铺剧情镜头。</x:v>
      </x:c>
      <x:c r="E2" s="7" t="str">
        <x:v>按顺序执行；首轮先锁根脸和转面，再上服装、全身、雨态、表情与手势。最后只制作一张 S02-04 证明帧，不批量铺剧情镜头。</x:v>
      </x:c>
      <x:c r="F2" s="7" t="str">
        <x:v>按顺序执行；首轮先锁根脸和转面，再上服装、全身、雨态、表情与手势。最后只制作一张 S02-04 证明帧，不批量铺剧情镜头。</x:v>
      </x:c>
      <x:c r="G2" s="7" t="str">
        <x:v>按顺序执行；首轮先锁根脸和转面，再上服装、全身、雨态、表情与手势。最后只制作一张 S02-04 证明帧，不批量铺剧情镜头。</x:v>
      </x:c>
      <x:c r="H2" s="7" t="str">
        <x:v>按顺序执行；首轮先锁根脸和转面，再上服装、全身、雨态、表情与手势。最后只制作一张 S02-04 证明帧，不批量铺剧情镜头。</x:v>
      </x:c>
      <x:c r="I2" s="7" t="str">
        <x:v>按顺序执行；首轮先锁根脸和转面，再上服装、全身、雨态、表情与手势。最后只制作一张 S02-04 证明帧，不批量铺剧情镜头。</x:v>
      </x:c>
      <x:c r="J2" s="7" t="str">
        <x:v>按顺序执行；首轮先锁根脸和转面，再上服装、全身、雨态、表情与手势。最后只制作一张 S02-04 证明帧，不批量铺剧情镜头。</x:v>
      </x:c>
      <x:c r="K2" s="7" t="str">
        <x:v>按顺序执行；首轮先锁根脸和转面，再上服装、全身、雨态、表情与手势。最后只制作一张 S02-04 证明帧，不批量铺剧情镜头。</x:v>
      </x:c>
      <x:c r="L2" s="7" t="str">
        <x:v>按顺序执行；首轮先锁根脸和转面，再上服装、全身、雨态、表情与手势。最后只制作一张 S02-04 证明帧，不批量铺剧情镜头。</x:v>
      </x:c>
    </x:row>
    <x:row r="4" ht="34" hidden="0" customHeight="1">
      <x:c r="A4" s="33" t="str">
        <x:v>顺序</x:v>
      </x:c>
      <x:c r="B4" s="34" t="str">
        <x:v>Task ID</x:v>
      </x:c>
      <x:c r="C4" s="34" t="str">
        <x:v>任务</x:v>
      </x:c>
      <x:c r="D4" s="34" t="str">
        <x:v>输出</x:v>
      </x:c>
      <x:c r="E4" s="34" t="str">
        <x:v>父参考</x:v>
      </x:c>
      <x:c r="F4" s="34" t="str">
        <x:v>候选数</x:v>
      </x:c>
      <x:c r="G4" s="34" t="str">
        <x:v>保留数</x:v>
      </x:c>
      <x:c r="H4" s="34" t="str">
        <x:v>必须先通过</x:v>
      </x:c>
      <x:c r="I4" s="34" t="str">
        <x:v>命名</x:v>
      </x:c>
      <x:c r="J4" s="34" t="str">
        <x:v>优先级</x:v>
      </x:c>
      <x:c r="K4" s="34" t="str">
        <x:v>状态</x:v>
      </x:c>
      <x:c r="L4" s="35" t="str">
        <x:v>验收引用</x:v>
      </x:c>
    </x:row>
    <x:row r="5" ht="15" hidden="0" customHeight="1">
      <x:c r="A5" s="39" t="n">
        <x:v>1</x:v>
      </x:c>
      <x:c r="B5" s="39" t="str">
        <x:v>B1-01</x:v>
      </x:c>
      <x:c r="C5" s="27" t="str">
        <x:v>根脸探索</x:v>
      </x:c>
      <x:c r="D5" s="27" t="str">
        <x:v>8张中性正脸候选</x:v>
      </x:c>
      <x:c r="E5" s="27" t="str">
        <x:v>无</x:v>
      </x:c>
      <x:c r="F5" s="39" t="n">
        <x:v>8</x:v>
      </x:c>
      <x:c r="G5" s="39" t="n">
        <x:v>2</x:v>
      </x:c>
      <x:c r="H5" s="27" t="str">
        <x:v>DNA-01~12</x:v>
      </x:c>
      <x:c r="I5" s="27" t="str">
        <x:v>FL35_ROOT_FACE_FRONT_v###</x:v>
      </x:c>
      <x:c r="J5" s="39" t="str">
        <x:v>P0</x:v>
      </x:c>
      <x:c r="K5" s="39" t="str">
        <x:v>未开始</x:v>
      </x:c>
      <x:c r="L5" s="27" t="str">
        <x:v>QA-001~009</x:v>
      </x:c>
    </x:row>
    <x:row r="6" ht="15" hidden="0" customHeight="1">
      <x:c r="A6" s="39" t="n">
        <x:v>2</x:v>
      </x:c>
      <x:c r="B6" s="39" t="str">
        <x:v>B1-02</x:v>
      </x:c>
      <x:c r="C6" s="27" t="str">
        <x:v>根脸锁定</x:v>
      </x:c>
      <x:c r="D6" s="27" t="str">
        <x:v>1张 canonical face</x:v>
      </x:c>
      <x:c r="E6" s="27" t="str">
        <x:v>B1-01 选中图</x:v>
      </x:c>
      <x:c r="F6" s="39" t="n">
        <x:v>2</x:v>
      </x:c>
      <x:c r="G6" s="39" t="n">
        <x:v>1</x:v>
      </x:c>
      <x:c r="H6" s="27" t="str">
        <x:v>不镜像+左眉断点</x:v>
      </x:c>
      <x:c r="I6" s="27" t="str">
        <x:v>FL35_ROOT_FACE_FRONT_LOCK_v001</x:v>
      </x:c>
      <x:c r="J6" s="39" t="str">
        <x:v>P0</x:v>
      </x:c>
      <x:c r="K6" s="39" t="str">
        <x:v>未开始</x:v>
      </x:c>
      <x:c r="L6" s="27" t="str">
        <x:v>QA-001~009</x:v>
      </x:c>
    </x:row>
    <x:row r="7" ht="15" hidden="0" customHeight="1">
      <x:c r="A7" s="39" t="n">
        <x:v>3</x:v>
      </x:c>
      <x:c r="B7" s="39" t="str">
        <x:v>B2-01</x:v>
      </x:c>
      <x:c r="C7" s="27" t="str">
        <x:v>头部转面</x:v>
      </x:c>
      <x:c r="D7" s="27" t="str">
        <x:v>左右45°、左右侧面</x:v>
      </x:c>
      <x:c r="E7" s="27" t="str">
        <x:v>@FL35_ROOT</x:v>
      </x:c>
      <x:c r="F7" s="39" t="n">
        <x:v>16</x:v>
      </x:c>
      <x:c r="G7" s="39" t="n">
        <x:v>4</x:v>
      </x:c>
      <x:c r="H7" s="27" t="str">
        <x:v>根脸锁定</x:v>
      </x:c>
      <x:c r="I7" s="27" t="str">
        <x:v>FL35_FACE_[VIEW]_v###</x:v>
      </x:c>
      <x:c r="J7" s="39" t="str">
        <x:v>P0</x:v>
      </x:c>
      <x:c r="K7" s="39" t="str">
        <x:v>未开始</x:v>
      </x:c>
      <x:c r="L7" s="27" t="str">
        <x:v>QA-001~009</x:v>
      </x:c>
    </x:row>
    <x:row r="8" ht="15" hidden="0" customHeight="1">
      <x:c r="A8" s="39" t="n">
        <x:v>4</x:v>
      </x:c>
      <x:c r="B8" s="39" t="str">
        <x:v>B2-02</x:v>
      </x:c>
      <x:c r="C8" s="27" t="str">
        <x:v>背面发髻</x:v>
      </x:c>
      <x:c r="D8" s="27" t="str">
        <x:v>背面头肩+木簪</x:v>
      </x:c>
      <x:c r="E8" s="27" t="str">
        <x:v>@FL35_ROOT</x:v>
      </x:c>
      <x:c r="F8" s="39" t="n">
        <x:v>4</x:v>
      </x:c>
      <x:c r="G8" s="39" t="n">
        <x:v>1</x:v>
      </x:c>
      <x:c r="H8" s="27" t="str">
        <x:v>根脸锁定</x:v>
      </x:c>
      <x:c r="I8" s="27" t="str">
        <x:v>FL35_HAIR_BACK_v###</x:v>
      </x:c>
      <x:c r="J8" s="39" t="str">
        <x:v>P0</x:v>
      </x:c>
      <x:c r="K8" s="39" t="str">
        <x:v>未开始</x:v>
      </x:c>
      <x:c r="L8" s="27" t="str">
        <x:v>QA-008</x:v>
      </x:c>
    </x:row>
    <x:row r="9" ht="15" hidden="0" customHeight="1">
      <x:c r="A9" s="39" t="n">
        <x:v>5</x:v>
      </x:c>
      <x:c r="B9" s="39" t="str">
        <x:v>B3-01</x:v>
      </x:c>
      <x:c r="C9" s="27" t="str">
        <x:v>干态服装结构</x:v>
      </x:c>
      <x:c r="D9" s="27" t="str">
        <x:v>人台+平铺</x:v>
      </x:c>
      <x:c r="E9" s="27" t="str">
        <x:v>@FL35_ROOT</x:v>
      </x:c>
      <x:c r="F9" s="39" t="n">
        <x:v>6</x:v>
      </x:c>
      <x:c r="G9" s="39" t="n">
        <x:v>2</x:v>
      </x:c>
      <x:c r="H9" s="27" t="str">
        <x:v>右衽结构</x:v>
      </x:c>
      <x:c r="I9" s="27" t="str">
        <x:v>CST_FL35_DRY_[TYPE]_v###</x:v>
      </x:c>
      <x:c r="J9" s="39" t="str">
        <x:v>P0</x:v>
      </x:c>
      <x:c r="K9" s="39" t="str">
        <x:v>未开始</x:v>
      </x:c>
      <x:c r="L9" s="27" t="str">
        <x:v>QA-011~013</x:v>
      </x:c>
    </x:row>
    <x:row r="10" ht="15" hidden="0" customHeight="1">
      <x:c r="A10" s="39" t="n">
        <x:v>6</x:v>
      </x:c>
      <x:c r="B10" s="39" t="str">
        <x:v>B3-02</x:v>
      </x:c>
      <x:c r="C10" s="27" t="str">
        <x:v>全身转面</x:v>
      </x:c>
      <x:c r="D10" s="27" t="str">
        <x:v>正面、左右侧、背面</x:v>
      </x:c>
      <x:c r="E10" s="27" t="str">
        <x:v>@FL35_ROOT + @CST_FL35_YUE_DRY</x:v>
      </x:c>
      <x:c r="F10" s="39" t="n">
        <x:v>16</x:v>
      </x:c>
      <x:c r="G10" s="39" t="n">
        <x:v>4</x:v>
      </x:c>
      <x:c r="H10" s="27" t="str">
        <x:v>头部转面+干态服装</x:v>
      </x:c>
      <x:c r="I10" s="27" t="str">
        <x:v>FL35_BODY_[VIEW]_v###</x:v>
      </x:c>
      <x:c r="J10" s="39" t="str">
        <x:v>P0</x:v>
      </x:c>
      <x:c r="K10" s="39" t="str">
        <x:v>未开始</x:v>
      </x:c>
      <x:c r="L10" s="27" t="str">
        <x:v>QA-010~013</x:v>
      </x:c>
    </x:row>
    <x:row r="11" ht="15" hidden="0" customHeight="1">
      <x:c r="A11" s="39" t="n">
        <x:v>7</x:v>
      </x:c>
      <x:c r="B11" s="39" t="str">
        <x:v>B4-01</x:v>
      </x:c>
      <x:c r="C11" s="27" t="str">
        <x:v>雨湿状态</x:v>
      </x:c>
      <x:c r="D11" s="27" t="str">
        <x:v>穿着干湿对照</x:v>
      </x:c>
      <x:c r="E11" s="27" t="str">
        <x:v>@CST_FL35_YUE_DRY</x:v>
      </x:c>
      <x:c r="F11" s="39" t="n">
        <x:v>6</x:v>
      </x:c>
      <x:c r="G11" s="39" t="n">
        <x:v>1</x:v>
      </x:c>
      <x:c r="H11" s="27" t="str">
        <x:v>全身转面</x:v>
      </x:c>
      <x:c r="I11" s="27" t="str">
        <x:v>CST_FL35_YUE_WET_v###</x:v>
      </x:c>
      <x:c r="J11" s="39" t="str">
        <x:v>P0</x:v>
      </x:c>
      <x:c r="K11" s="39" t="str">
        <x:v>未开始</x:v>
      </x:c>
      <x:c r="L11" s="27" t="str">
        <x:v>QA-014~015</x:v>
      </x:c>
    </x:row>
    <x:row r="12" ht="15" hidden="0" customHeight="1">
      <x:c r="A12" s="39" t="n">
        <x:v>8</x:v>
      </x:c>
      <x:c r="B12" s="39" t="str">
        <x:v>B4-02</x:v>
      </x:c>
      <x:c r="C12" s="27" t="str">
        <x:v>表情板</x:v>
      </x:c>
      <x:c r="D12" s="27" t="str">
        <x:v>观察、抬眼、收下巴</x:v>
      </x:c>
      <x:c r="E12" s="27" t="str">
        <x:v>@FL35_ROOT</x:v>
      </x:c>
      <x:c r="F12" s="39" t="n">
        <x:v>12</x:v>
      </x:c>
      <x:c r="G12" s="39" t="n">
        <x:v>3</x:v>
      </x:c>
      <x:c r="H12" s="27" t="str">
        <x:v>根脸锁定</x:v>
      </x:c>
      <x:c r="I12" s="27" t="str">
        <x:v>FL35_EXP_[STATE]_v###</x:v>
      </x:c>
      <x:c r="J12" s="39" t="str">
        <x:v>P1</x:v>
      </x:c>
      <x:c r="K12" s="39" t="str">
        <x:v>未开始</x:v>
      </x:c>
      <x:c r="L12" s="27" t="str">
        <x:v>QA-016~017</x:v>
      </x:c>
    </x:row>
    <x:row r="13" ht="15" hidden="0" customHeight="1">
      <x:c r="A13" s="39" t="n">
        <x:v>9</x:v>
      </x:c>
      <x:c r="B13" s="39" t="str">
        <x:v>B4-03</x:v>
      </x:c>
      <x:c r="C13" s="27" t="str">
        <x:v>竹简手势</x:v>
      </x:c>
      <x:c r="D13" s="27" t="str">
        <x:v>右手触简不翻</x:v>
      </x:c>
      <x:c r="E13" s="27" t="str">
        <x:v>@FL35_ROOT + 袖口 + P04</x:v>
      </x:c>
      <x:c r="F13" s="39" t="n">
        <x:v>6</x:v>
      </x:c>
      <x:c r="G13" s="39" t="n">
        <x:v>1</x:v>
      </x:c>
      <x:c r="H13" s="27" t="str">
        <x:v>手部接触静帧</x:v>
      </x:c>
      <x:c r="I13" s="27" t="str">
        <x:v>FL35_HAND_BAMBOO_STOP_v###</x:v>
      </x:c>
      <x:c r="J13" s="39" t="str">
        <x:v>P0</x:v>
      </x:c>
      <x:c r="K13" s="39" t="str">
        <x:v>未开始</x:v>
      </x:c>
      <x:c r="L13" s="27" t="str">
        <x:v>QA-018~020</x:v>
      </x:c>
    </x:row>
    <x:row r="14" ht="15" hidden="0" customHeight="1">
      <x:c r="A14" s="39" t="n">
        <x:v>10</x:v>
      </x:c>
      <x:c r="B14" s="39" t="str">
        <x:v>B5-01</x:v>
      </x:c>
      <x:c r="C14" s="27" t="str">
        <x:v>FL35联系表</x:v>
      </x:c>
      <x:c r="D14" s="27" t="str">
        <x:v>同尺度身份母版</x:v>
      </x:c>
      <x:c r="E14" s="27" t="str">
        <x:v>已通过资产</x:v>
      </x:c>
      <x:c r="F14" s="39" t="n">
        <x:v>1</x:v>
      </x:c>
      <x:c r="G14" s="39" t="n">
        <x:v>1</x:v>
      </x:c>
      <x:c r="H14" s="27" t="str">
        <x:v>资产1-18通过</x:v>
      </x:c>
      <x:c r="I14" s="27" t="str">
        <x:v>CAL_FL35_MASTER_v001</x:v>
      </x:c>
      <x:c r="J14" s="39" t="str">
        <x:v>P0</x:v>
      </x:c>
      <x:c r="K14" s="39" t="str">
        <x:v>未开始</x:v>
      </x:c>
      <x:c r="L14" s="27" t="str">
        <x:v>QA-023~024</x:v>
      </x:c>
    </x:row>
    <x:row r="15" ht="15" hidden="0" customHeight="1">
      <x:c r="A15" s="39" t="n">
        <x:v>11</x:v>
      </x:c>
      <x:c r="B15" s="39" t="str">
        <x:v>B5-02</x:v>
      </x:c>
      <x:c r="C15" s="27" t="str">
        <x:v>S02-04证明帧</x:v>
      </x:c>
      <x:c r="D15" s="27" t="str">
        <x:v>1张雨廊适配最终帧</x:v>
      </x:c>
      <x:c r="E15" s="27" t="str">
        <x:v>@CAL_FL35_MASTER + E02 + P04</x:v>
      </x:c>
      <x:c r="F15" s="39" t="n">
        <x:v>4</x:v>
      </x:c>
      <x:c r="G15" s="39" t="n">
        <x:v>1</x:v>
      </x:c>
      <x:c r="H15" s="27" t="str">
        <x:v>FL35闸门通过</x:v>
      </x:c>
      <x:c r="I15" s="27" t="str">
        <x:v>TEST_S02-04_FL35_v###</x:v>
      </x:c>
      <x:c r="J15" s="39" t="str">
        <x:v>P1</x:v>
      </x:c>
      <x:c r="K15" s="39" t="str">
        <x:v>未开始</x:v>
      </x:c>
      <x:c r="L15" s="27" t="str">
        <x:v>QA-021</x:v>
      </x:c>
    </x:row>
    <x:row r="16" ht="15" hidden="0" customHeight="1">
      <x:c r="A16" s="39" t="n">
        <x:v>12</x:v>
      </x:c>
      <x:c r="B16" s="39" t="str">
        <x:v>B6-01</x:v>
      </x:c>
      <x:c r="C16" s="27" t="str">
        <x:v>提交父分支</x:v>
      </x:c>
      <x:c r="D16" s="27" t="str">
        <x:v>批准包+参数+验收证据</x:v>
      </x:c>
      <x:c r="E16" s="27" t="str">
        <x:v>全部已通过</x:v>
      </x:c>
      <x:c r="F16" s="39" t="n">
        <x:v>1</x:v>
      </x:c>
      <x:c r="G16" s="39" t="n">
        <x:v>1</x:v>
      </x:c>
      <x:c r="H16" s="27" t="str">
        <x:v>硬阻断=0</x:v>
      </x:c>
      <x:c r="I16" s="27" t="str">
        <x:v>DELIVERY_FL35_ROOT_v1.0</x:v>
      </x:c>
      <x:c r="J16" s="39" t="str">
        <x:v>P0</x:v>
      </x:c>
      <x:c r="K16" s="39" t="str">
        <x:v>未开始</x:v>
      </x:c>
      <x:c r="L16" s="27" t="str">
        <x:v>QA-023~024</x:v>
      </x:c>
    </x:row>
  </x:sheetData>
  <x:mergeCells>
    <x:mergeCell ref="A1:L1"/>
    <x:mergeCell ref="A2:L2"/>
  </x:mergeCells>
  <x:conditionalFormatting sqref="K5:K16">
    <x:cfRule type="containsText" dxfId="18" priority="1" operator="containsText" text="已通过"/>
    <x:cfRule type="containsText" dxfId="19" priority="2" operator="containsText" text="待复核"/>
    <x:cfRule type="containsText" dxfId="20" priority="3" operator="containsText" text="需返工"/>
    <x:cfRule type="containsText" dxfId="21" priority="4" operator="containsText" text="阻塞"/>
  </x:conditionalFormatting>
  <x:dataValidations count="2">
    <x:dataValidation type="list" sqref="K5:K16">
      <x:formula1>"未开始,制作中,待复核,已通过,需返工,阻塞"</x:formula1>
    </x:dataValidation>
    <x:dataValidation type="list" sqref="J5:J16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1fe14203d1480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0" hidden="0" customWidth="1"/>
    <x:col min="4" max="4" width="34" hidden="0" customWidth="1"/>
    <x:col min="5" max="5" width="32" hidden="0" customWidth="1"/>
    <x:col min="6" max="6" width="28" hidden="0" customWidth="1"/>
    <x:col min="7" max="7" width="34" hidden="0" customWidth="1"/>
    <x:col min="8" max="8" width="18" hidden="0" customWidth="1"/>
    <x:col min="9" max="9" width="38" hidden="0" customWidth="1"/>
    <x:col min="10" max="10" width="36" hidden="0" customWidth="1"/>
    <x:col min="11" max="11" width="42" hidden="0" customWidth="1"/>
  </x:cols>
  <x:sheetData>
    <x:row r="1" ht="34" customHeight="1">
      <x:c r="A1" s="3" t="str">
        <x:v>FL35 镜头适配范围</x:v>
      </x:c>
      <x:c r="B1" s="3" t="str">
        <x:v>FL35 镜头适配范围</x:v>
      </x:c>
      <x:c r="C1" s="3" t="str">
        <x:v>FL35 镜头适配范围</x:v>
      </x:c>
      <x:c r="D1" s="3" t="str">
        <x:v>FL35 镜头适配范围</x:v>
      </x:c>
      <x:c r="E1" s="3" t="str">
        <x:v>FL35 镜头适配范围</x:v>
      </x:c>
      <x:c r="F1" s="3" t="str">
        <x:v>FL35 镜头适配范围</x:v>
      </x:c>
      <x:c r="G1" s="3" t="str">
        <x:v>FL35 镜头适配范围</x:v>
      </x:c>
      <x:c r="H1" s="3" t="str">
        <x:v>FL35 镜头适配范围</x:v>
      </x:c>
      <x:c r="I1" s="3" t="str">
        <x:v>FL35 镜头适配范围</x:v>
      </x:c>
      <x:c r="J1" s="3" t="str">
        <x:v>FL35 镜头适配范围</x:v>
      </x:c>
      <x:c r="K1" s="3" t="str">
        <x:v>FL35 镜头适配范围</x:v>
      </x:c>
    </x:row>
    <x:row r="2" ht="32" customHeight="1">
      <x:c r="A2" s="7" t="str">
        <x:v>本分支只负责 S02-04 至 S02-06 的角色适配规则；实际剧情图须等人物闸门通过后在关键帧分支执行。</x:v>
      </x:c>
      <x:c r="B2" s="7" t="str">
        <x:v>本分支只负责 S02-04 至 S02-06 的角色适配规则；实际剧情图须等人物闸门通过后在关键帧分支执行。</x:v>
      </x:c>
      <x:c r="C2" s="7" t="str">
        <x:v>本分支只负责 S02-04 至 S02-06 的角色适配规则；实际剧情图须等人物闸门通过后在关键帧分支执行。</x:v>
      </x:c>
      <x:c r="D2" s="7" t="str">
        <x:v>本分支只负责 S02-04 至 S02-06 的角色适配规则；实际剧情图须等人物闸门通过后在关键帧分支执行。</x:v>
      </x:c>
      <x:c r="E2" s="7" t="str">
        <x:v>本分支只负责 S02-04 至 S02-06 的角色适配规则；实际剧情图须等人物闸门通过后在关键帧分支执行。</x:v>
      </x:c>
      <x:c r="F2" s="7" t="str">
        <x:v>本分支只负责 S02-04 至 S02-06 的角色适配规则；实际剧情图须等人物闸门通过后在关键帧分支执行。</x:v>
      </x:c>
      <x:c r="G2" s="7" t="str">
        <x:v>本分支只负责 S02-04 至 S02-06 的角色适配规则；实际剧情图须等人物闸门通过后在关键帧分支执行。</x:v>
      </x:c>
      <x:c r="H2" s="7" t="str">
        <x:v>本分支只负责 S02-04 至 S02-06 的角色适配规则；实际剧情图须等人物闸门通过后在关键帧分支执行。</x:v>
      </x:c>
      <x:c r="I2" s="7" t="str">
        <x:v>本分支只负责 S02-04 至 S02-06 的角色适配规则；实际剧情图须等人物闸门通过后在关键帧分支执行。</x:v>
      </x:c>
      <x:c r="J2" s="7" t="str">
        <x:v>本分支只负责 S02-04 至 S02-06 的角色适配规则；实际剧情图须等人物闸门通过后在关键帧分支执行。</x:v>
      </x:c>
      <x:c r="K2" s="7" t="str">
        <x:v>本分支只负责 S02-04 至 S02-06 的角色适配规则；实际剧情图须等人物闸门通过后在关键帧分支执行。</x:v>
      </x:c>
    </x:row>
    <x:row r="4" ht="34" hidden="0" customHeight="1">
      <x:c r="A4" s="33" t="str">
        <x:v>镜号</x:v>
      </x:c>
      <x:c r="B4" s="34" t="str">
        <x:v>时间码</x:v>
      </x:c>
      <x:c r="C4" s="34" t="str">
        <x:v>时长(秒)</x:v>
      </x:c>
      <x:c r="D4" s="34" t="str">
        <x:v>角色任务</x:v>
      </x:c>
      <x:c r="E4" s="34" t="str">
        <x:v>构图/机位</x:v>
      </x:c>
      <x:c r="F4" s="34" t="str">
        <x:v>服装状态</x:v>
      </x:c>
      <x:c r="G4" s="34" t="str">
        <x:v>人物动作</x:v>
      </x:c>
      <x:c r="H4" s="34" t="str">
        <x:v>环境/道具</x:v>
      </x:c>
      <x:c r="I4" s="34" t="str">
        <x:v>主要风险</x:v>
      </x:c>
      <x:c r="J4" s="34" t="str">
        <x:v>回退方案</x:v>
      </x:c>
      <x:c r="K4" s="35" t="str">
        <x:v>必须引用资产</x:v>
      </x:c>
    </x:row>
    <x:row r="5" ht="21.600000381469727" hidden="0" customHeight="1">
      <x:c r="A5" s="39" t="str">
        <x:v>S02-04</x:v>
      </x:c>
      <x:c r="B5" s="39" t="str">
        <x:v>00:28-00:33</x:v>
      </x:c>
      <x:c r="C5" s="40" t="n">
        <x:v>5</x:v>
      </x:c>
      <x:c r="D5" s="27" t="str">
        <x:v>第一次完整看见青年范蠡；观察者而非战场英雄</x:v>
      </x:c>
      <x:c r="E5" s="27" t="str">
        <x:v>50mm中景；人物在画面右1/3；极慢推近</x:v>
      </x:c>
      <x:c r="F5" s="27" t="str">
        <x:v>@CST_FL35_YUE_WET</x:v>
      </x:c>
      <x:c r="G5" s="27" t="str">
        <x:v>先看雨，再看画外士卒，最后看竹简边缘</x:v>
      </x:c>
      <x:c r="H5" s="27" t="str">
        <x:v>E02 / P04</x:v>
      </x:c>
      <x:c r="I5" s="27" t="str">
        <x:v>变脸、衣襟翻转、眉断点消失、发髻变化</x:v>
      </x:c>
      <x:c r="J5" s="27" t="str">
        <x:v>减少转头；只移动眼神；缩短稳定区间</x:v>
      </x:c>
      <x:c r="K5" s="27" t="str">
        <x:v>@CAL_FL35_MASTER / @FL35_EXP_OBSERVE / @CST_FL35_CONTINUITY</x:v>
      </x:c>
    </x:row>
    <x:row r="6" ht="21.600000381469727" hidden="0" customHeight="1">
      <x:c r="A6" s="39" t="str">
        <x:v>S02-05</x:v>
      </x:c>
      <x:c r="B6" s="39" t="str">
        <x:v>00:33-00:39</x:v>
      </x:c>
      <x:c r="C6" s="40" t="n">
        <x:v>6</x:v>
      </x:c>
      <x:c r="D6" s="27" t="str">
        <x:v>用不翻简表现克制</x:v>
      </x:c>
      <x:c r="E6" s="27" t="str">
        <x:v>85mm锁定；浅景深移焦</x:v>
      </x:c>
      <x:c r="F6" s="27" t="str">
        <x:v>@CST_FL35_YUE_WET（袖口）</x:v>
      </x:c>
      <x:c r="G6" s="27" t="str">
        <x:v>人物右手食指轻触竹简边缘后停止</x:v>
      </x:c>
      <x:c r="H6" s="27" t="str">
        <x:v>P04 / P19</x:v>
      </x:c>
      <x:c r="I6" s="27" t="str">
        <x:v>多指、穿模、竹简自行翻动</x:v>
      </x:c>
      <x:c r="J6" s="27" t="str">
        <x:v>先修手势静帧；动作拆成触碰与停止</x:v>
      </x:c>
      <x:c r="K6" s="27" t="str">
        <x:v>@FL35_HAND_BAMBOO_STOP / @CST_FL35_CONTINUITY</x:v>
      </x:c>
    </x:row>
    <x:row r="7" ht="21.600000381469727" hidden="0" customHeight="1">
      <x:c r="A7" s="39" t="str">
        <x:v>S02-06</x:v>
      </x:c>
      <x:c r="B7" s="39" t="str">
        <x:v>00:39-00:45</x:v>
      </x:c>
      <x:c r="C7" s="40" t="n">
        <x:v>6</x:v>
      </x:c>
      <x:c r="D7" s="27" t="str">
        <x:v>倒影由破碎变清晰；时机慢慢显现</x:v>
      </x:c>
      <x:c r="E7" s="27" t="str">
        <x:v>俯拍50mm；完全锁定</x:v>
      </x:c>
      <x:c r="F7" s="27" t="str">
        <x:v>@CST_FL35_YUE_WET</x:v>
      </x:c>
      <x:c r="G7" s="27" t="str">
        <x:v>倒影中仅轻微抬眼</x:v>
      </x:c>
      <x:c r="H7" s="27" t="str">
        <x:v>E02 / P19</x:v>
      </x:c>
      <x:c r="I7" s="27" t="str">
        <x:v>倒影扭曲根脸、产生魔法光</x:v>
      </x:c>
      <x:c r="J7" s="27" t="str">
        <x:v>必要时仅保留轮廓和眼神方向；水纹分层</x:v>
      </x:c>
      <x:c r="K7" s="27" t="str">
        <x:v>@CAL_FL35_MASTER / @FL35_EXP_EYES_UP / @CST_FL35_CONTINUITY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6718ca2771ae4eb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4" hidden="0" customWidth="1"/>
    <x:col min="3" max="3" width="34" hidden="0" customWidth="1"/>
    <x:col min="4" max="4" width="41" hidden="0" customWidth="1"/>
    <x:col min="5" max="5" width="78" hidden="0" customWidth="1"/>
    <x:col min="6" max="6" width="29" hidden="0" customWidth="1"/>
  </x:cols>
  <x:sheetData>
    <x:row r="1" ht="34" customHeight="1">
      <x:c r="A1" s="3" t="str">
        <x:v>FL35 台账来源说明</x:v>
      </x:c>
      <x:c r="B1" s="3" t="str">
        <x:v>FL35 台账来源说明</x:v>
      </x:c>
      <x:c r="C1" s="3" t="str">
        <x:v>FL35 台账来源说明</x:v>
      </x:c>
      <x:c r="D1" s="3" t="str">
        <x:v>FL35 台账来源说明</x:v>
      </x:c>
      <x:c r="E1" s="3" t="str">
        <x:v>FL35 台账来源说明</x:v>
      </x:c>
      <x:c r="F1" s="3" t="str">
        <x:v>FL35 台账来源说明</x:v>
      </x:c>
    </x:row>
    <x:row r="2" ht="32" customHeight="1">
      <x:c r="A2" s="7" t="str">
        <x:v>所有内容来自项目已附文档；为可执行生产做了标签化、拆分和验收化，但没有改变父分支锁定的骨相。</x:v>
      </x:c>
      <x:c r="B2" s="7" t="str">
        <x:v>所有内容来自项目已附文档；为可执行生产做了标签化、拆分和验收化，但没有改变父分支锁定的骨相。</x:v>
      </x:c>
      <x:c r="C2" s="7" t="str">
        <x:v>所有内容来自项目已附文档；为可执行生产做了标签化、拆分和验收化，但没有改变父分支锁定的骨相。</x:v>
      </x:c>
      <x:c r="D2" s="7" t="str">
        <x:v>所有内容来自项目已附文档；为可执行生产做了标签化、拆分和验收化，但没有改变父分支锁定的骨相。</x:v>
      </x:c>
      <x:c r="E2" s="7" t="str">
        <x:v>所有内容来自项目已附文档；为可执行生产做了标签化、拆分和验收化，但没有改变父分支锁定的骨相。</x:v>
      </x:c>
      <x:c r="F2" s="7" t="str">
        <x:v>所有内容来自项目已附文档；为可执行生产做了标签化、拆分和验收化，但没有改变父分支锁定的骨相。</x:v>
      </x:c>
    </x:row>
    <x:row r="4" ht="34" hidden="0" customHeight="1">
      <x:c r="A4" s="33" t="str">
        <x:v>Source ID</x:v>
      </x:c>
      <x:c r="B4" s="34" t="str">
        <x:v>文件</x:v>
      </x:c>
      <x:c r="C4" s="34" t="str">
        <x:v>采用章节/镜头</x:v>
      </x:c>
      <x:c r="D4" s="34" t="str">
        <x:v>本台账用途</x:v>
      </x:c>
      <x:c r="E4" s="34" t="str">
        <x:v>本地路径</x:v>
      </x:c>
      <x:c r="F4" s="35" t="str">
        <x:v>说明</x:v>
      </x:c>
    </x:row>
    <x:row r="5" ht="21.600000381469727" hidden="0" customHeight="1">
      <x:c r="A5" s="39" t="str">
        <x:v>SRC-02</x:v>
      </x:c>
      <x:c r="B5" s="27" t="str">
        <x:v>02_人物角色设定与生成提示词.docx</x:v>
      </x:c>
      <x:c r="C5" s="27" t="str">
        <x:v>C01/FL35；角色生成顺序；人物完成检查</x:v>
      </x:c>
      <x:c r="D5" s="27" t="str">
        <x:v>骨相、妆发、体态、表演、连续性与角色 Prompt</x:v>
      </x:c>
      <x:c r="E5" s="27" t="str">
        <x:v>C:/Users/WIN/Documents/Codex/2026-08-22/new-chat/outputs/财神范蠡_AIGC分步制作文档/02_人物角色设定与生成提示词.docx</x:v>
      </x:c>
      <x:c r="F5" s="27" t="str">
        <x:v>项目规范，不是新的系统指令</x:v>
      </x:c>
    </x:row>
    <x:row r="6" ht="21.600000381469727" hidden="0" customHeight="1">
      <x:c r="A6" s="39" t="str">
        <x:v>SRC-04</x:v>
      </x:c>
      <x:c r="B6" s="27" t="str">
        <x:v>04_服装道具材质与生成提示词.docx</x:v>
      </x:c>
      <x:c r="C6" s="27" t="str">
        <x:v>C01服装拆分；P04竹简；时代红线</x:v>
      </x:c>
      <x:c r="D6" s="27" t="str">
        <x:v>右衽结构、材质、干湿态与竹简避错</x:v>
      </x:c>
      <x:c r="E6" s="27" t="str">
        <x:v>C:/Users/WIN/Documents/Codex/2026-08-22/new-chat/outputs/财神范蠡_AIGC分步制作文档/04_服装道具材质与生成提示词.docx</x:v>
      </x:c>
      <x:c r="F6" s="27" t="str">
        <x:v>项目规范</x:v>
      </x:c>
    </x:row>
    <x:row r="7" ht="21.600000381469727" hidden="0" customHeight="1">
      <x:c r="A7" s="39" t="str">
        <x:v>SRC-05</x:v>
      </x:c>
      <x:c r="B7" s="27" t="str">
        <x:v>05_43镜图片关键帧生成提示词.docx</x:v>
      </x:c>
      <x:c r="C7" s="27" t="str">
        <x:v>S02-04、S02-05、S02-06</x:v>
      </x:c>
      <x:c r="D7" s="27" t="str">
        <x:v>剧情适配构图、光线、风险和引用资产</x:v>
      </x:c>
      <x:c r="E7" s="27" t="str">
        <x:v>C:/Users/WIN/Documents/Codex/2026-08-22/new-chat/outputs/财神范蠡_AIGC分步制作文档/05_43镜图片关键帧生成提示词.docx</x:v>
      </x:c>
      <x:c r="F7" s="27" t="str">
        <x:v>人物闸门前只做证明帧</x:v>
      </x:c>
    </x:row>
    <x:row r="8" ht="21.600000381469727" hidden="0" customHeight="1">
      <x:c r="A8" s="39" t="str">
        <x:v>SRC-06</x:v>
      </x:c>
      <x:c r="B8" s="27" t="str">
        <x:v>06_43镜图生视频运动提示词.docx</x:v>
      </x:c>
      <x:c r="C8" s="27" t="str">
        <x:v>S02-04、S02-05、S02-06</x:v>
      </x:c>
      <x:c r="D8" s="27" t="str">
        <x:v>动作起止、运动约束与回退策略</x:v>
      </x:c>
      <x:c r="E8" s="27" t="str">
        <x:v>C:/Users/WIN/Documents/Codex/2026-08-22/new-chat/outputs/财神范蠡_AIGC分步制作文档/06_43镜图生视频运动提示词.docx</x:v>
      </x:c>
      <x:c r="F8" s="27" t="str">
        <x:v>视频阶段不得重新设计角色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5e3f9f9d6d94417"/>
  </x:tableParts>
</x:worksheet>
</file>