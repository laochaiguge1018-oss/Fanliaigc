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5bd56a815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asting槽位" sheetId="1" r:id="Rf3b5ee1a92e24d3b"/>
    <x:sheet xmlns:r="http://schemas.openxmlformats.org/officeDocument/2006/relationships" name="02_分组生成结构" sheetId="2" r:id="R8467253049af4352"/>
    <x:sheet xmlns:r="http://schemas.openxmlformats.org/officeDocument/2006/relationships" name="03_身份指纹" sheetId="3" r:id="R5d64dfad52824480"/>
    <x:sheet xmlns:r="http://schemas.openxmlformats.org/officeDocument/2006/relationships" name="04_去重验收" sheetId="4" r:id="R6074a080097c4b7a"/>
    <x:sheet xmlns:r="http://schemas.openxmlformats.org/officeDocument/2006/relationships" name="05_镜头映射" sheetId="5" r:id="Rd26c3652f9cd4c17"/>
    <x:sheet xmlns:r="http://schemas.openxmlformats.org/officeDocument/2006/relationships" name="06_制作队列" sheetId="6" r:id="R72bb88fafa6140f7"/>
    <x:sheet xmlns:r="http://schemas.openxmlformats.org/officeDocument/2006/relationships" name="07_来源与规则" sheetId="7" r:id="R4339a60c8cd24d8d"/>
    <x:sheet xmlns:r="http://schemas.openxmlformats.org/officeDocument/2006/relationships" name="00_总览" sheetId="8" r:id="R3bbac61291dc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Microsoft YaHei"/>
    </x:font>
    <x:font>
      <x:sz val="10"/>
      <x:color rgb="FF2E2925"/>
      <x:name val="Microsoft YaHei"/>
    </x:font>
    <x:font>
      <x:b/>
      <x:sz val="10"/>
      <x:color rgb="FFFFFFFF"/>
      <x:name val="Microsoft YaHei"/>
    </x:font>
    <x:font>
      <x:sz val="9"/>
      <x:color rgb="FF2E2925"/>
      <x:name val="Microsoft YaHei"/>
    </x:font>
    <x:font>
      <x:sz val="11"/>
      <x:color rgb="FF2E2925"/>
      <x:name val="Microsoft YaHei"/>
    </x:font>
    <x:font>
      <x:b/>
      <x:sz val="11"/>
      <x:color rgb="FFFFFFFF"/>
      <x:name val="Microsoft YaHei"/>
    </x:font>
    <x:font>
      <x:b/>
      <x:sz val="13"/>
      <x:color rgb="FF4A372D"/>
      <x:name val="Microsoft YaHei"/>
    </x:font>
    <x:font>
      <x:b/>
      <x:sz val="13"/>
      <x:color rgb="FF7B2D22"/>
      <x:name val="Microsoft YaHei"/>
    </x:font>
    <x:font>
      <x:b/>
      <x:sz val="11"/>
      <x:color rgb="FF6A4B12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4A372D"/>
      </x:patternFill>
    </x:fill>
    <x:fill>
      <x:patternFill patternType="solid">
        <x:fgColor rgb="FFF4EFE6"/>
      </x:patternFill>
    </x:fill>
    <x:fill>
      <x:patternFill patternType="solid">
        <x:fgColor rgb="FFA65F3E"/>
      </x:patternFill>
    </x:fill>
    <x:fill>
      <x:patternFill patternType="solid">
        <x:fgColor rgb="FFFBF9F5"/>
      </x:patternFill>
    </x:fill>
    <x:fill>
      <x:patternFill patternType="solid">
        <x:fgColor rgb="FFF1D6D0"/>
      </x:patternFill>
    </x:fill>
    <x:fill>
      <x:patternFill patternType="solid">
        <x:fgColor rgb="FF60725B"/>
      </x:patternFill>
    </x:fill>
    <x:fill>
      <x:patternFill patternType="solid">
        <x:fgColor rgb="FFF4E4B8"/>
      </x:patternFill>
    </x:fill>
  </x:fills>
  <x:borders count="14">
    <x:border/>
    <x:border>
      <x:left style="thin">
        <x:color rgb="FF4A372D"/>
      </x:left>
      <x:top style="thin">
        <x:color rgb="FF4A372D"/>
      </x:top>
      <x:bottom style="thin">
        <x:color rgb="FF4A372D"/>
      </x:bottom>
    </x:border>
    <x:border>
      <x:top style="thin">
        <x:color rgb="FF4A372D"/>
      </x:top>
      <x:bottom style="thin">
        <x:color rgb="FF4A372D"/>
      </x:bottom>
    </x:border>
    <x:border>
      <x:right style="thin">
        <x:color rgb="FF4A372D"/>
      </x:right>
      <x:top style="thin">
        <x:color rgb="FF4A372D"/>
      </x:top>
      <x:bottom style="thin">
        <x:color rgb="FF4A372D"/>
      </x:bottom>
    </x:border>
    <x:border>
      <x:bottom style="thin">
        <x:color rgb="FFDED8D0"/>
      </x:bottom>
    </x:border>
    <x:border>
      <x:top style="thin">
        <x:color rgb="FFDED8D0"/>
      </x:top>
      <x:bottom style="thin">
        <x:color rgb="FFDED8D0"/>
      </x:bottom>
    </x:border>
    <x:border>
      <x:top style="thin">
        <x:color rgb="FFDED8D0"/>
      </x:top>
      <x:bottom style="thin">
        <x:color rgb="FFBEB5A9"/>
      </x:bottom>
    </x:border>
    <x:border>
      <x:top style="thin">
        <x:color rgb="FFDED8D0"/>
      </x:top>
    </x:border>
    <x:border>
      <x:left style="thin">
        <x:color rgb="FFBEB5A9"/>
      </x:left>
      <x:top style="thin">
        <x:color rgb="FFBEB5A9"/>
      </x:top>
    </x:border>
    <x:border>
      <x:right style="thin">
        <x:color rgb="FFBEB5A9"/>
      </x:right>
      <x:top style="thin">
        <x:color rgb="FFBEB5A9"/>
      </x:top>
    </x:border>
    <x:border>
      <x:left style="thin">
        <x:color rgb="FFBEB5A9"/>
      </x:left>
    </x:border>
    <x:border>
      <x:right style="thin">
        <x:color rgb="FFBEB5A9"/>
      </x:right>
    </x:border>
    <x:border>
      <x:left style="thin">
        <x:color rgb="FFBEB5A9"/>
      </x:left>
      <x:bottom style="thin">
        <x:color rgb="FFBEB5A9"/>
      </x:bottom>
    </x:border>
    <x:border>
      <x:right style="thin">
        <x:color rgb="FFBEB5A9"/>
      </x:right>
      <x:bottom style="thin">
        <x:color rgb="FFBEB5A9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7">
    <x:dxf>
      <x:font>
        <x:b/>
        <x:color rgb="FF244223"/>
      </x:font>
      <x:fill>
        <x:patternFill patternType="solid">
          <x:bgColor rgb="FFDDE9DC"/>
        </x:patternFill>
      </x:fill>
    </x:dxf>
    <x:dxf>
      <x:font>
        <x:b/>
        <x:color rgb="FF24465D"/>
      </x:font>
      <x:fill>
        <x:patternFill patternType="solid">
          <x:bgColor rgb="FFDDE7EF"/>
        </x:patternFill>
      </x:fill>
    </x:dxf>
    <x:dxf>
      <x:font>
        <x:b/>
        <x:color rgb="FF725516"/>
      </x:font>
      <x:fill>
        <x:patternFill patternType="solid">
          <x:bgColor rgb="FFF4E4B8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  <x:dxf>
      <x:font>
        <x:b/>
        <x:color rgb="FF244223"/>
      </x:font>
      <x:fill>
        <x:patternFill patternType="solid">
          <x:bgColor rgb="FFDDE9DC"/>
        </x:patternFill>
      </x:fill>
    </x:dxf>
    <x:dxf>
      <x:font>
        <x:b/>
        <x:color rgb="FF24465D"/>
      </x:font>
      <x:fill>
        <x:patternFill patternType="solid">
          <x:bgColor rgb="FFDDE7EF"/>
        </x:patternFill>
      </x:fill>
    </x:dxf>
    <x:dxf>
      <x:font>
        <x:b/>
        <x:color rgb="FF725516"/>
      </x:font>
      <x:fill>
        <x:patternFill patternType="solid">
          <x:bgColor rgb="FFF4E4B8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  <x:dxf>
      <x:font>
        <x:b/>
        <x:color rgb="FF244223"/>
      </x:font>
      <x:fill>
        <x:patternFill patternType="solid">
          <x:bgColor rgb="FFDDE9DC"/>
        </x:patternFill>
      </x:fill>
    </x:dxf>
    <x:dxf>
      <x:font>
        <x:b/>
        <x:color rgb="FF24465D"/>
      </x:font>
      <x:fill>
        <x:patternFill patternType="solid">
          <x:bgColor rgb="FFDDE7EF"/>
        </x:patternFill>
      </x:fill>
    </x:dxf>
    <x:dxf>
      <x:font>
        <x:b/>
        <x:color rgb="FF725516"/>
      </x:font>
      <x:fill>
        <x:patternFill patternType="solid">
          <x:bgColor rgb="FFF4E4B8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  <x:dxf>
      <x:font>
        <x:b/>
        <x:color rgb="FF244223"/>
      </x:font>
      <x:fill>
        <x:patternFill patternType="solid">
          <x:bgColor rgb="FFDDE9DC"/>
        </x:patternFill>
      </x:fill>
    </x:dxf>
    <x:dxf>
      <x:font>
        <x:b/>
        <x:color rgb="FF24465D"/>
      </x:font>
      <x:fill>
        <x:patternFill patternType="solid">
          <x:bgColor rgb="FFDDE7EF"/>
        </x:patternFill>
      </x:fill>
    </x:dxf>
    <x:dxf>
      <x:font>
        <x:b/>
        <x:color rgb="FF725516"/>
      </x:font>
      <x:fill>
        <x:patternFill patternType="solid">
          <x:bgColor rgb="FFF4E4B8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  <x:dxf>
      <x:font>
        <x:b/>
        <x:color rgb="FF244223"/>
      </x:font>
      <x:fill>
        <x:patternFill patternType="solid">
          <x:bgColor rgb="FFDDE9DC"/>
        </x:patternFill>
      </x:fill>
    </x:dxf>
    <x:dxf>
      <x:font>
        <x:b/>
        <x:color rgb="FF24465D"/>
      </x:font>
      <x:fill>
        <x:patternFill patternType="solid">
          <x:bgColor rgb="FFDDE7EF"/>
        </x:patternFill>
      </x:fill>
    </x:dxf>
    <x:dxf>
      <x:font>
        <x:b/>
        <x:color rgb="FF725516"/>
      </x:font>
      <x:fill>
        <x:patternFill patternType="solid">
          <x:bgColor rgb="FFF4E4B8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  <x:dxf>
      <x:font>
        <x:b/>
        <x:color rgb="FF244223"/>
      </x:font>
      <x:fill>
        <x:patternFill patternType="solid">
          <x:bgColor rgb="FFDDE9DC"/>
        </x:patternFill>
      </x:fill>
    </x:dxf>
    <x:dxf>
      <x:font>
        <x:b/>
        <x:color rgb="FF24465D"/>
      </x:font>
      <x:fill>
        <x:patternFill patternType="solid">
          <x:bgColor rgb="FFDDE7EF"/>
        </x:patternFill>
      </x:fill>
    </x:dxf>
    <x:dxf>
      <x:font>
        <x:b/>
        <x:color rgb="FF725516"/>
      </x:font>
      <x:fill>
        <x:patternFill patternType="solid">
          <x:bgColor rgb="FFF4E4B8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  <x:dxf>
      <x:font>
        <x:b/>
        <x:color rgb="FF244223"/>
      </x:font>
      <x:fill>
        <x:patternFill patternType="solid">
          <x:bgColor rgb="FFDDE9DC"/>
        </x:patternFill>
      </x:fill>
    </x:dxf>
    <x:dxf>
      <x:font>
        <x:b/>
        <x:color rgb="FF24465D"/>
      </x:font>
      <x:fill>
        <x:patternFill patternType="solid">
          <x:bgColor rgb="FFDDE7EF"/>
        </x:patternFill>
      </x:fill>
    </x:dxf>
    <x:dxf>
      <x:font>
        <x:b/>
        <x:color rgb="FF725516"/>
      </x:font>
      <x:fill>
        <x:patternFill patternType="solid">
          <x:bgColor rgb="FFF4E4B8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  <x:dxf>
      <x:font>
        <x:b/>
        <x:color rgb="FF244223"/>
      </x:font>
      <x:fill>
        <x:patternFill patternType="solid">
          <x:bgColor rgb="FFDDE9DC"/>
        </x:patternFill>
      </x:fill>
    </x:dxf>
    <x:dxf>
      <x:font>
        <x:b/>
        <x:color rgb="FF7B2D22"/>
      </x:font>
      <x:fill>
        <x:patternFill patternType="solid">
          <x:bgColor rgb="FFF1D6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e52a9878a40f3" /><Relationship Type="http://schemas.openxmlformats.org/officeDocument/2006/relationships/theme" Target="/xl/theme/theme1.xml" Id="Rc93aa0b80dbc4b84" /><Relationship Type="http://schemas.openxmlformats.org/officeDocument/2006/relationships/sharedStrings" Target="/xl/sharedStrings.xml" Id="R0ab274acd5d54314" /><Relationship Type="http://schemas.openxmlformats.org/officeDocument/2006/relationships/worksheet" Target="/xl/worksheets/sheet1.xml" Id="Rf3b5ee1a92e24d3b" /><Relationship Type="http://schemas.openxmlformats.org/officeDocument/2006/relationships/worksheet" Target="/xl/worksheets/sheet2.xml" Id="R8467253049af4352" /><Relationship Type="http://schemas.openxmlformats.org/officeDocument/2006/relationships/worksheet" Target="/xl/worksheets/sheet3.xml" Id="R5d64dfad52824480" /><Relationship Type="http://schemas.openxmlformats.org/officeDocument/2006/relationships/worksheet" Target="/xl/worksheets/sheet4.xml" Id="R6074a080097c4b7a" /><Relationship Type="http://schemas.openxmlformats.org/officeDocument/2006/relationships/worksheet" Target="/xl/worksheets/sheet5.xml" Id="Rd26c3652f9cd4c17" /><Relationship Type="http://schemas.openxmlformats.org/officeDocument/2006/relationships/worksheet" Target="/xl/worksheets/sheet6.xml" Id="R72bb88fafa6140f7" /><Relationship Type="http://schemas.openxmlformats.org/officeDocument/2006/relationships/worksheet" Target="/xl/worksheets/sheet7.xml" Id="R4339a60c8cd24d8d" /><Relationship Type="http://schemas.openxmlformats.org/officeDocument/2006/relationships/worksheet" Target="/xl/worksheets/sheet8.xml" Id="R3bbac61291dc4d63" /></Relationships>
</file>

<file path=xl/tables/table1.xml><?xml version="1.0" encoding="utf-8"?>
<x:table xmlns:x="http://schemas.openxmlformats.org/spreadsheetml/2006/main" id="1" name="CastingSlotsTable" displayName="CastingSlotsTable" ref="A4:T37" headerRowCount="1" totalsRowCount="0" totalsRowShown="0">
  <x:tableColumns count="20">
    <x:tableColumn id="1" name="组别"/>
    <x:tableColumn id="2" name="槽位ID"/>
    <x:tableColumn id="3" name="Canonical Tag"/>
    <x:tableColumn id="4" name="功能角色"/>
    <x:tableColumn id="5" name="性别呈现"/>
    <x:tableColumn id="6" name="年龄段"/>
    <x:tableColumn id="7" name="身高"/>
    <x:tableColumn id="8" name="体态"/>
    <x:tableColumn id="9" name="脸型/可见性"/>
    <x:tableColumn id="10" name="发式/胡须"/>
    <x:tableColumn id="11" name="服装基线"/>
    <x:tableColumn id="12" name="主动作"/>
    <x:tableColumn id="13" name="画面层级"/>
    <x:tableColumn id="14" name="视线"/>
    <x:tableColumn id="15" name="唯一轮廓锚点"/>
    <x:tableColumn id="16" name="关键道具"/>
    <x:tableColumn id="17" name="Casting输出"/>
    <x:tableColumn id="18" name="面部可见性"/>
    <x:tableColumn id="19" name="优先级"/>
    <x:tableColumn id="20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upStructureTable" displayName="GroupStructureTable" ref="A4:O10" headerRowCount="1" totalsRowCount="0" totalsRowShown="0">
  <x:tableColumns count="15">
    <x:tableColumn id="1" name="组别"/>
    <x:tableColumn id="2" name="名称"/>
    <x:tableColumn id="3" name="交付包"/>
    <x:tableColumn id="4" name="槽位数"/>
    <x:tableColumn id="5" name="页面结构"/>
    <x:tableColumn id="6" name="必要视图"/>
    <x:tableColumn id="7" name="差异维度"/>
    <x:tableColumn id="8" name="服装材质基线"/>
    <x:tableColumn id="9" name="道具分配"/>
    <x:tableColumn id="10" name="动作分层"/>
    <x:tableColumn id="11" name="不同步规则"/>
    <x:tableColumn id="12" name="镜头覆盖"/>
    <x:tableColumn id="13" name="例外/提醒"/>
    <x:tableColumn id="14" name="优先级"/>
    <x:tableColumn id="15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dentityFingerprintTable" displayName="IdentityFingerprintTable" ref="A4:N37" headerRowCount="1" totalsRowCount="0" totalsRowShown="0">
  <x:tableColumns count="14">
    <x:tableColumn id="1" name="组别"/>
    <x:tableColumn id="2" name="槽位ID"/>
    <x:tableColumn id="3" name="性别"/>
    <x:tableColumn id="4" name="年龄段"/>
    <x:tableColumn id="5" name="身高"/>
    <x:tableColumn id="6" name="体态"/>
    <x:tableColumn id="7" name="脸型/可见性"/>
    <x:tableColumn id="8" name="发式/胡须"/>
    <x:tableColumn id="9" name="服装基线"/>
    <x:tableColumn id="10" name="主动作"/>
    <x:tableColumn id="11" name="唯一轮廓锚点"/>
    <x:tableColumn id="12" name="指纹键"/>
    <x:tableColumn id="13" name="重复计数"/>
    <x:tableColumn id="14" name="自动结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stingQATable" displayName="CastingQATable" ref="A4:J26" headerRowCount="1" totalsRowCount="0" totalsRowShown="0">
  <x:tableColumns count="10">
    <x:tableColumn id="1" name="检查ID"/>
    <x:tableColumn id="2" name="范围"/>
    <x:tableColumn id="3" name="检查维度"/>
    <x:tableColumn id="4" name="通过标准"/>
    <x:tableColumn id="5" name="检查方法"/>
    <x:tableColumn id="6" name="严重度"/>
    <x:tableColumn id="7" name="阻断闸门"/>
    <x:tableColumn id="8" name="状态"/>
    <x:tableColumn id="9" name="证据/版本"/>
    <x:tableColumn id="10" name="审核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hotCastingMapTable" displayName="ShotCastingMapTable" ref="A4:L28" headerRowCount="1" totalsRowCount="0" totalsRowShown="0">
  <x:tableColumns count="12">
    <x:tableColumn id="1" name="组别"/>
    <x:tableColumn id="2" name="镜号"/>
    <x:tableColumn id="3" name="幕"/>
    <x:tableColumn id="4" name="引用类型"/>
    <x:tableColumn id="5" name="画面功能"/>
    <x:tableColumn id="6" name="建议槽位"/>
    <x:tableColumn id="7" name="动作"/>
    <x:tableColumn id="8" name="景别/层级"/>
    <x:tableColumn id="9" name="环境"/>
    <x:tableColumn id="10" name="道具"/>
    <x:tableColumn id="11" name="主要风险"/>
    <x:tableColumn id="12" name="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stingQueueTable" displayName="CastingQueueTable" ref="A4:I16" headerRowCount="1" totalsRowCount="0" totalsRowShown="0">
  <x:tableColumns count="9">
    <x:tableColumn id="1" name="顺序"/>
    <x:tableColumn id="2" name="任务ID"/>
    <x:tableColumn id="3" name="任务"/>
    <x:tableColumn id="4" name="组别"/>
    <x:tableColumn id="5" name="交付物"/>
    <x:tableColumn id="6" name="前置依赖"/>
    <x:tableColumn id="7" name="优先级"/>
    <x:tableColumn id="8" name="状态"/>
    <x:tableColumn id="9" name="闸门/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4:E8" headerRowCount="1" totalsRowCount="0" totalsRowShown="0">
  <x:tableColumns count="5">
    <x:tableColumn id="1" name="来源文件"/>
    <x:tableColumn id="2" name="定位"/>
    <x:tableColumn id="3" name="本表用途"/>
    <x:tableColumn id="4" name="权威级别"/>
    <x:tableColumn id="5" name="读取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b8f2e1438f43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a956b5e6b144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273ff4737140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e26deaa26143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942f3d5b8064b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1349cbb17d743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950837f993b42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9" hidden="0" customWidth="1"/>
    <x:col min="4" max="4" width="15" hidden="0" customWidth="1"/>
    <x:col min="5" max="5" width="10" hidden="0" customWidth="1"/>
    <x:col min="6" max="6" width="10" hidden="0" customWidth="1"/>
    <x:col min="7" max="7" width="11" hidden="0" customWidth="1"/>
    <x:col min="8" max="8" width="11" hidden="0" customWidth="1"/>
    <x:col min="9" max="9" width="14" hidden="0" customWidth="1"/>
    <x:col min="10" max="10" width="18" hidden="0" customWidth="1"/>
    <x:col min="11" max="11" width="25" hidden="0" customWidth="1"/>
    <x:col min="12" max="12" width="19" hidden="0" customWidth="1"/>
    <x:col min="13" max="13" width="10" hidden="0" customWidth="1"/>
    <x:col min="14" max="14" width="15" hidden="0" customWidth="1"/>
    <x:col min="15" max="15" width="21" hidden="0" customWidth="1"/>
    <x:col min="16" max="16" width="15" hidden="0" customWidth="1"/>
    <x:col min="17" max="17" width="20" hidden="0" customWidth="1"/>
    <x:col min="18" max="18" width="12" hidden="0" customWidth="1"/>
    <x:col min="19" max="19" width="8" hidden="0" customWidth="1"/>
    <x:col min="20" max="20" width="11" hidden="0" customWidth="1"/>
  </x:cols>
  <x:sheetData>
    <x:row r="1" ht="34" customHeight="1">
      <x:c r="A1" s="3" t="str">
        <x:v>G01–G06 Casting 槽位台账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2" customHeight="1">
      <x:c r="A2" s="7" t="str">
        <x:v>33 个可独立调用的角色/局部资产。每个槽位先做单人或单部位母版，再组合群体；禁止直接让模型随机生成一群人。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4" customHeight="1">
      <x:c r="A4" s="19" t="str">
        <x:v>组别</x:v>
      </x:c>
      <x:c r="B4" s="20" t="str">
        <x:v>槽位ID</x:v>
      </x:c>
      <x:c r="C4" s="20" t="str">
        <x:v>Canonical Tag</x:v>
      </x:c>
      <x:c r="D4" s="20" t="str">
        <x:v>功能角色</x:v>
      </x:c>
      <x:c r="E4" s="20" t="str">
        <x:v>性别呈现</x:v>
      </x:c>
      <x:c r="F4" s="20" t="str">
        <x:v>年龄段</x:v>
      </x:c>
      <x:c r="G4" s="20" t="str">
        <x:v>身高</x:v>
      </x:c>
      <x:c r="H4" s="20" t="str">
        <x:v>体态</x:v>
      </x:c>
      <x:c r="I4" s="20" t="str">
        <x:v>脸型/可见性</x:v>
      </x:c>
      <x:c r="J4" s="20" t="str">
        <x:v>发式/胡须</x:v>
      </x:c>
      <x:c r="K4" s="20" t="str">
        <x:v>服装基线</x:v>
      </x:c>
      <x:c r="L4" s="20" t="str">
        <x:v>主动作</x:v>
      </x:c>
      <x:c r="M4" s="20" t="str">
        <x:v>画面层级</x:v>
      </x:c>
      <x:c r="N4" s="20" t="str">
        <x:v>视线</x:v>
      </x:c>
      <x:c r="O4" s="20" t="str">
        <x:v>唯一轮廓锚点</x:v>
      </x:c>
      <x:c r="P4" s="20" t="str">
        <x:v>关键道具</x:v>
      </x:c>
      <x:c r="Q4" s="20" t="str">
        <x:v>Casting输出</x:v>
      </x:c>
      <x:c r="R4" s="20" t="str">
        <x:v>面部可见性</x:v>
      </x:c>
      <x:c r="S4" s="20" t="str">
        <x:v>优先级</x:v>
      </x:c>
      <x:c r="T4" s="21" t="str">
        <x:v>状态</x:v>
      </x:c>
    </x:row>
    <x:row r="5" ht="48" customHeight="1">
      <x:c r="A5" s="30" t="str">
        <x:v>G01</x:v>
      </x:c>
      <x:c r="B5" s="30" t="str">
        <x:v>G01-01</x:v>
      </x:c>
      <x:c r="C5" s="30" t="str">
        <x:v>@G01_S01</x:v>
      </x:c>
      <x:c r="D5" s="30" t="str">
        <x:v>年轻警戒兵</x:v>
      </x:c>
      <x:c r="E5" s="30" t="str">
        <x:v>男</x:v>
      </x:c>
      <x:c r="F5" s="30" t="str">
        <x:v>20–24</x:v>
      </x:c>
      <x:c r="G5" s="30" t="str">
        <x:v>中等偏高</x:v>
      </x:c>
      <x:c r="H5" s="30" t="str">
        <x:v>清瘦</x:v>
      </x:c>
      <x:c r="I5" s="30" t="str">
        <x:v>长椭圆</x:v>
      </x:c>
      <x:c r="J5" s="30" t="str">
        <x:v>高束髻、无须</x:v>
      </x:c>
      <x:c r="K5" s="30" t="str">
        <x:v>暗灰麻衣+轻漆革护肩</x:v>
      </x:c>
      <x:c r="L5" s="30" t="str">
        <x:v>扶盾观察雨幕</x:v>
      </x:c>
      <x:c r="M5" s="30" t="str">
        <x:v>中景</x:v>
      </x:c>
      <x:c r="N5" s="30" t="str">
        <x:v>看向画外左</x:v>
      </x:c>
      <x:c r="O5" s="30" t="str">
        <x:v>细长颈肩+窄盾</x:v>
      </x:c>
      <x:c r="P5" s="30" t="str">
        <x:v>竹木盾</x:v>
      </x:c>
      <x:c r="Q5" s="30" t="str">
        <x:v>全身正面+左45°</x:v>
      </x:c>
      <x:c r="R5" s="30" t="str">
        <x:v>清晰</x:v>
      </x:c>
      <x:c r="S5" s="30" t="str">
        <x:v>P0</x:v>
      </x:c>
      <x:c r="T5" s="30" t="str">
        <x:v>未开始</x:v>
      </x:c>
    </x:row>
    <x:row r="6" ht="48" customHeight="1">
      <x:c r="A6" s="31" t="str">
        <x:v>G01</x:v>
      </x:c>
      <x:c r="B6" s="31" t="str">
        <x:v>G01-02</x:v>
      </x:c>
      <x:c r="C6" s="31" t="str">
        <x:v>@G01_S02</x:v>
      </x:c>
      <x:c r="D6" s="31" t="str">
        <x:v>持剑士卒</x:v>
      </x:c>
      <x:c r="E6" s="31" t="str">
        <x:v>男</x:v>
      </x:c>
      <x:c r="F6" s="31" t="str">
        <x:v>25–30</x:v>
      </x:c>
      <x:c r="G6" s="31" t="str">
        <x:v>高</x:v>
      </x:c>
      <x:c r="H6" s="31" t="str">
        <x:v>宽肩</x:v>
      </x:c>
      <x:c r="I6" s="31" t="str">
        <x:v>方脸</x:v>
      </x:c>
      <x:c r="J6" s="31" t="str">
        <x:v>低髻、短须</x:v>
      </x:c>
      <x:c r="K6" s="31" t="str">
        <x:v>黑褐麻衣+皮革腰护</x:v>
      </x:c>
      <x:c r="L6" s="31" t="str">
        <x:v>握青铜剑柄一次</x:v>
      </x:c>
      <x:c r="M6" s="31" t="str">
        <x:v>前景</x:v>
      </x:c>
      <x:c r="N6" s="31" t="str">
        <x:v>看向画外右</x:v>
      </x:c>
      <x:c r="O6" s="31" t="str">
        <x:v>宽肩+方颌</x:v>
      </x:c>
      <x:c r="P6" s="31" t="str">
        <x:v>P05青铜剑</x:v>
      </x:c>
      <x:c r="Q6" s="31" t="str">
        <x:v>全身正面+右45°</x:v>
      </x:c>
      <x:c r="R6" s="31" t="str">
        <x:v>清晰</x:v>
      </x:c>
      <x:c r="S6" s="31" t="str">
        <x:v>P0</x:v>
      </x:c>
      <x:c r="T6" s="31" t="str">
        <x:v>未开始</x:v>
      </x:c>
    </x:row>
    <x:row r="7" ht="48" customHeight="1">
      <x:c r="A7" s="31" t="str">
        <x:v>G01</x:v>
      </x:c>
      <x:c r="B7" s="31" t="str">
        <x:v>G01-03</x:v>
      </x:c>
      <x:c r="C7" s="31" t="str">
        <x:v>@G01_S03</x:v>
      </x:c>
      <x:c r="D7" s="31" t="str">
        <x:v>廊下老练士卒</x:v>
      </x:c>
      <x:c r="E7" s="31" t="str">
        <x:v>男</x:v>
      </x:c>
      <x:c r="F7" s="31" t="str">
        <x:v>31–36</x:v>
      </x:c>
      <x:c r="G7" s="31" t="str">
        <x:v>偏矮</x:v>
      </x:c>
      <x:c r="H7" s="31" t="str">
        <x:v>结实</x:v>
      </x:c>
      <x:c r="I7" s="31" t="str">
        <x:v>圆脸</x:v>
      </x:c>
      <x:c r="J7" s="31" t="str">
        <x:v>紧髻、八字短须</x:v>
      </x:c>
      <x:c r="K7" s="31" t="str">
        <x:v>苔灰麻衣+竹片护臂</x:v>
      </x:c>
      <x:c r="L7" s="31" t="str">
        <x:v>靠柱静候</x:v>
      </x:c>
      <x:c r="M7" s="31" t="str">
        <x:v>背景</x:v>
      </x:c>
      <x:c r="N7" s="31" t="str">
        <x:v>平视画外</x:v>
      </x:c>
      <x:c r="O7" s="31" t="str">
        <x:v>低重心+圆脸</x:v>
      </x:c>
      <x:c r="P7" s="31" t="str">
        <x:v>P06戈</x:v>
      </x:c>
      <x:c r="Q7" s="31" t="str">
        <x:v>全身正面+左45°</x:v>
      </x:c>
      <x:c r="R7" s="31" t="str">
        <x:v>清晰</x:v>
      </x:c>
      <x:c r="S7" s="31" t="str">
        <x:v>P1</x:v>
      </x:c>
      <x:c r="T7" s="31" t="str">
        <x:v>未开始</x:v>
      </x:c>
    </x:row>
    <x:row r="8" ht="48" customHeight="1">
      <x:c r="A8" s="31" t="str">
        <x:v>G01</x:v>
      </x:c>
      <x:c r="B8" s="31" t="str">
        <x:v>G01-04</x:v>
      </x:c>
      <x:c r="C8" s="31" t="str">
        <x:v>@G01_S04</x:v>
      </x:c>
      <x:c r="D8" s="31" t="str">
        <x:v>长兵器手</x:v>
      </x:c>
      <x:c r="E8" s="31" t="str">
        <x:v>男</x:v>
      </x:c>
      <x:c r="F8" s="31" t="str">
        <x:v>37–41</x:v>
      </x:c>
      <x:c r="G8" s="31" t="str">
        <x:v>高</x:v>
      </x:c>
      <x:c r="H8" s="31" t="str">
        <x:v>瘦长</x:v>
      </x:c>
      <x:c r="I8" s="31" t="str">
        <x:v>窄长脸</x:v>
      </x:c>
      <x:c r="J8" s="31" t="str">
        <x:v>高髻、下颌短须</x:v>
      </x:c>
      <x:c r="K8" s="31" t="str">
        <x:v>深灰绿长衣+漆革胸片</x:v>
      </x:c>
      <x:c r="L8" s="31" t="str">
        <x:v>持戈不摆拍</x:v>
      </x:c>
      <x:c r="M8" s="31" t="str">
        <x:v>中景</x:v>
      </x:c>
      <x:c r="N8" s="31" t="str">
        <x:v>看向同一指挥方向</x:v>
      </x:c>
      <x:c r="O8" s="31" t="str">
        <x:v>长臂+窄长脸</x:v>
      </x:c>
      <x:c r="P8" s="31" t="str">
        <x:v>P06戈矛</x:v>
      </x:c>
      <x:c r="Q8" s="31" t="str">
        <x:v>全身正面+右45°</x:v>
      </x:c>
      <x:c r="R8" s="31" t="str">
        <x:v>清晰</x:v>
      </x:c>
      <x:c r="S8" s="31" t="str">
        <x:v>P1</x:v>
      </x:c>
      <x:c r="T8" s="31" t="str">
        <x:v>未开始</x:v>
      </x:c>
    </x:row>
    <x:row r="9" ht="48" customHeight="1">
      <x:c r="A9" s="31" t="str">
        <x:v>G01</x:v>
      </x:c>
      <x:c r="B9" s="31" t="str">
        <x:v>G01-05</x:v>
      </x:c>
      <x:c r="C9" s="31" t="str">
        <x:v>@G01_S05</x:v>
      </x:c>
      <x:c r="D9" s="31" t="str">
        <x:v>年长盾手</x:v>
      </x:c>
      <x:c r="E9" s="31" t="str">
        <x:v>男</x:v>
      </x:c>
      <x:c r="F9" s="31" t="str">
        <x:v>42–45</x:v>
      </x:c>
      <x:c r="G9" s="31" t="str">
        <x:v>中等</x:v>
      </x:c>
      <x:c r="H9" s="31" t="str">
        <x:v>敦实</x:v>
      </x:c>
      <x:c r="I9" s="31" t="str">
        <x:v>宽脸</x:v>
      </x:c>
      <x:c r="J9" s="31" t="str">
        <x:v>低髻、鬓灰、短须</x:v>
      </x:c>
      <x:c r="K9" s="31" t="str">
        <x:v>暗褐麻衣+旧漆革</x:v>
      </x:c>
      <x:c r="L9" s="31" t="str">
        <x:v>雨中换重心</x:v>
      </x:c>
      <x:c r="M9" s="31" t="str">
        <x:v>背景</x:v>
      </x:c>
      <x:c r="N9" s="31" t="str">
        <x:v>低头看泥水</x:v>
      </x:c>
      <x:c r="O9" s="31" t="str">
        <x:v>短颈+宽盾</x:v>
      </x:c>
      <x:c r="P9" s="31" t="str">
        <x:v>竹木盾</x:v>
      </x:c>
      <x:c r="Q9" s="31" t="str">
        <x:v>全身正面+左45°</x:v>
      </x:c>
      <x:c r="R9" s="31" t="str">
        <x:v>清晰</x:v>
      </x:c>
      <x:c r="S9" s="31" t="str">
        <x:v>P1</x:v>
      </x:c>
      <x:c r="T9" s="31" t="str">
        <x:v>未开始</x:v>
      </x:c>
    </x:row>
    <x:row r="10" ht="48" customHeight="1">
      <x:c r="A10" s="31" t="str">
        <x:v>G01</x:v>
      </x:c>
      <x:c r="B10" s="31" t="str">
        <x:v>G01-06</x:v>
      </x:c>
      <x:c r="C10" s="31" t="str">
        <x:v>@G01_S06</x:v>
      </x:c>
      <x:c r="D10" s="31" t="str">
        <x:v>后勤兵</x:v>
      </x:c>
      <x:c r="E10" s="31" t="str">
        <x:v>男</x:v>
      </x:c>
      <x:c r="F10" s="31" t="str">
        <x:v>23–28</x:v>
      </x:c>
      <x:c r="G10" s="31" t="str">
        <x:v>中等</x:v>
      </x:c>
      <x:c r="H10" s="31" t="str">
        <x:v>精瘦</x:v>
      </x:c>
      <x:c r="I10" s="31" t="str">
        <x:v>菱形脸</x:v>
      </x:c>
      <x:c r="J10" s="31" t="str">
        <x:v>简髻、无须</x:v>
      </x:c>
      <x:c r="K10" s="31" t="str">
        <x:v>烟灰短衣+深褐腰带</x:v>
      </x:c>
      <x:c r="L10" s="31" t="str">
        <x:v>搬动湿装备</x:v>
      </x:c>
      <x:c r="M10" s="31" t="str">
        <x:v>背景</x:v>
      </x:c>
      <x:c r="N10" s="31" t="str">
        <x:v>不看镜头</x:v>
      </x:c>
      <x:c r="O10" s="31" t="str">
        <x:v>尖颧+轻装备</x:v>
      </x:c>
      <x:c r="P10" s="31" t="str">
        <x:v>麻绳/盾</x:v>
      </x:c>
      <x:c r="Q10" s="31" t="str">
        <x:v>全身正面+右45°</x:v>
      </x:c>
      <x:c r="R10" s="31" t="str">
        <x:v>清晰</x:v>
      </x:c>
      <x:c r="S10" s="31" t="str">
        <x:v>P2</x:v>
      </x:c>
      <x:c r="T10" s="31" t="str">
        <x:v>未开始</x:v>
      </x:c>
    </x:row>
    <x:row r="11" ht="48" customHeight="1">
      <x:c r="A11" s="31" t="str">
        <x:v>G02</x:v>
      </x:c>
      <x:c r="B11" s="31" t="str">
        <x:v>G02-01</x:v>
      </x:c>
      <x:c r="C11" s="31" t="str">
        <x:v>@G02_S01</x:v>
      </x:c>
      <x:c r="D11" s="31" t="str">
        <x:v>越国官吏</x:v>
      </x:c>
      <x:c r="E11" s="31" t="str">
        <x:v>男</x:v>
      </x:c>
      <x:c r="F11" s="31" t="str">
        <x:v>46–55</x:v>
      </x:c>
      <x:c r="G11" s="31" t="str">
        <x:v>高</x:v>
      </x:c>
      <x:c r="H11" s="31" t="str">
        <x:v>修长</x:v>
      </x:c>
      <x:c r="I11" s="31" t="str">
        <x:v>长脸</x:v>
      </x:c>
      <x:c r="J11" s="31" t="str">
        <x:v>低髻、整齐短须</x:v>
      </x:c>
      <x:c r="K11" s="31" t="str">
        <x:v>黑褐细织衣+暗朱内缘</x:v>
      </x:c>
      <x:c r="L11" s="31" t="str">
        <x:v>举陶杯后停住</x:v>
      </x:c>
      <x:c r="M11" s="31" t="str">
        <x:v>前景</x:v>
      </x:c>
      <x:c r="N11" s="31" t="str">
        <x:v>看同伴</x:v>
      </x:c>
      <x:c r="O11" s="31" t="str">
        <x:v>修长轮廓+暗朱领</x:v>
      </x:c>
      <x:c r="P11" s="31" t="str">
        <x:v>陶杯</x:v>
      </x:c>
      <x:c r="Q11" s="31" t="str">
        <x:v>全身正面+左45°</x:v>
      </x:c>
      <x:c r="R11" s="31" t="str">
        <x:v>清晰</x:v>
      </x:c>
      <x:c r="S11" s="31" t="str">
        <x:v>P1</x:v>
      </x:c>
      <x:c r="T11" s="31" t="str">
        <x:v>未开始</x:v>
      </x:c>
    </x:row>
    <x:row r="12" ht="48" customHeight="1">
      <x:c r="A12" s="31" t="str">
        <x:v>G02</x:v>
      </x:c>
      <x:c r="B12" s="31" t="str">
        <x:v>G02-02</x:v>
      </x:c>
      <x:c r="C12" s="31" t="str">
        <x:v>@G02_S02</x:v>
      </x:c>
      <x:c r="D12" s="31" t="str">
        <x:v>年轻官吏</x:v>
      </x:c>
      <x:c r="E12" s="31" t="str">
        <x:v>男</x:v>
      </x:c>
      <x:c r="F12" s="31" t="str">
        <x:v>28–35</x:v>
      </x:c>
      <x:c r="G12" s="31" t="str">
        <x:v>中等</x:v>
      </x:c>
      <x:c r="H12" s="31" t="str">
        <x:v>匀称</x:v>
      </x:c>
      <x:c r="I12" s="31" t="str">
        <x:v>椭圆脸</x:v>
      </x:c>
      <x:c r="J12" s="31" t="str">
        <x:v>窄冠或整髻、无须</x:v>
      </x:c>
      <x:c r="K12" s="31" t="str">
        <x:v>深灰细织长衣</x:v>
      </x:c>
      <x:c r="L12" s="31" t="str">
        <x:v>侧身交谈</x:v>
      </x:c>
      <x:c r="M12" s="31" t="str">
        <x:v>中景</x:v>
      </x:c>
      <x:c r="N12" s="31" t="str">
        <x:v>看G02-01</x:v>
      </x:c>
      <x:c r="O12" s="31" t="str">
        <x:v>窄肩+深灰长衣</x:v>
      </x:c>
      <x:c r="P12" s="31" t="str">
        <x:v>竹简</x:v>
      </x:c>
      <x:c r="Q12" s="31" t="str">
        <x:v>全身正面+右45°</x:v>
      </x:c>
      <x:c r="R12" s="31" t="str">
        <x:v>清晰</x:v>
      </x:c>
      <x:c r="S12" s="31" t="str">
        <x:v>P2</x:v>
      </x:c>
      <x:c r="T12" s="31" t="str">
        <x:v>未开始</x:v>
      </x:c>
    </x:row>
    <x:row r="13" ht="48" customHeight="1">
      <x:c r="A13" s="31" t="str">
        <x:v>G02</x:v>
      </x:c>
      <x:c r="B13" s="31" t="str">
        <x:v>G02-03</x:v>
      </x:c>
      <x:c r="C13" s="31" t="str">
        <x:v>@G02_S03</x:v>
      </x:c>
      <x:c r="D13" s="31" t="str">
        <x:v>庆功士卒</x:v>
      </x:c>
      <x:c r="E13" s="31" t="str">
        <x:v>男</x:v>
      </x:c>
      <x:c r="F13" s="31" t="str">
        <x:v>24–30</x:v>
      </x:c>
      <x:c r="G13" s="31" t="str">
        <x:v>高</x:v>
      </x:c>
      <x:c r="H13" s="31" t="str">
        <x:v>宽肩</x:v>
      </x:c>
      <x:c r="I13" s="31" t="str">
        <x:v>方脸</x:v>
      </x:c>
      <x:c r="J13" s="31" t="str">
        <x:v>高髻、淡须</x:v>
      </x:c>
      <x:c r="K13" s="31" t="str">
        <x:v>暗灰军衣+旧护臂</x:v>
      </x:c>
      <x:c r="L13" s="31" t="str">
        <x:v>放下盾牌呼气</x:v>
      </x:c>
      <x:c r="M13" s="31" t="str">
        <x:v>中景</x:v>
      </x:c>
      <x:c r="N13" s="31" t="str">
        <x:v>看火盆</x:v>
      </x:c>
      <x:c r="O13" s="31" t="str">
        <x:v>宽肩+盾轮廓</x:v>
      </x:c>
      <x:c r="P13" s="31" t="str">
        <x:v>盾</x:v>
      </x:c>
      <x:c r="Q13" s="31" t="str">
        <x:v>全身正面+左45°</x:v>
      </x:c>
      <x:c r="R13" s="31" t="str">
        <x:v>清晰</x:v>
      </x:c>
      <x:c r="S13" s="31" t="str">
        <x:v>P1</x:v>
      </x:c>
      <x:c r="T13" s="31" t="str">
        <x:v>未开始</x:v>
      </x:c>
    </x:row>
    <x:row r="14" ht="48" customHeight="1">
      <x:c r="A14" s="31" t="str">
        <x:v>G02</x:v>
      </x:c>
      <x:c r="B14" s="31" t="str">
        <x:v>G02-04</x:v>
      </x:c>
      <x:c r="C14" s="31" t="str">
        <x:v>@G02_S04</x:v>
      </x:c>
      <x:c r="D14" s="31" t="str">
        <x:v>年长士卒</x:v>
      </x:c>
      <x:c r="E14" s="31" t="str">
        <x:v>男</x:v>
      </x:c>
      <x:c r="F14" s="31" t="str">
        <x:v>40–48</x:v>
      </x:c>
      <x:c r="G14" s="31" t="str">
        <x:v>偏矮</x:v>
      </x:c>
      <x:c r="H14" s="31" t="str">
        <x:v>敦实</x:v>
      </x:c>
      <x:c r="I14" s="31" t="str">
        <x:v>宽圆脸</x:v>
      </x:c>
      <x:c r="J14" s="31" t="str">
        <x:v>低髻、鬓灰短须</x:v>
      </x:c>
      <x:c r="K14" s="31" t="str">
        <x:v>黑褐军衣</x:v>
      </x:c>
      <x:c r="L14" s="31" t="str">
        <x:v>与一人低声交谈</x:v>
      </x:c>
      <x:c r="M14" s="31" t="str">
        <x:v>中景</x:v>
      </x:c>
      <x:c r="N14" s="31" t="str">
        <x:v>看对方</x:v>
      </x:c>
      <x:c r="O14" s="31" t="str">
        <x:v>敦实+宽圆脸</x:v>
      </x:c>
      <x:c r="P14" s="31" t="str">
        <x:v>漆碗</x:v>
      </x:c>
      <x:c r="Q14" s="31" t="str">
        <x:v>全身正面+右45°</x:v>
      </x:c>
      <x:c r="R14" s="31" t="str">
        <x:v>清晰</x:v>
      </x:c>
      <x:c r="S14" s="31" t="str">
        <x:v>P2</x:v>
      </x:c>
      <x:c r="T14" s="31" t="str">
        <x:v>未开始</x:v>
      </x:c>
    </x:row>
    <x:row r="15" ht="48" customHeight="1">
      <x:c r="A15" s="31" t="str">
        <x:v>G02</x:v>
      </x:c>
      <x:c r="B15" s="31" t="str">
        <x:v>G02-05</x:v>
      </x:c>
      <x:c r="C15" s="31" t="str">
        <x:v>@G02_S05</x:v>
      </x:c>
      <x:c r="D15" s="31" t="str">
        <x:v>劳作者</x:v>
      </x:c>
      <x:c r="E15" s="31" t="str">
        <x:v>女</x:v>
      </x:c>
      <x:c r="F15" s="31" t="str">
        <x:v>34–42</x:v>
      </x:c>
      <x:c r="G15" s="31" t="str">
        <x:v>中等</x:v>
      </x:c>
      <x:c r="H15" s="31" t="str">
        <x:v>结实</x:v>
      </x:c>
      <x:c r="I15" s="31" t="str">
        <x:v>圆脸</x:v>
      </x:c>
      <x:c r="J15" s="31" t="str">
        <x:v>盘束发、无首饰</x:v>
      </x:c>
      <x:c r="K15" s="31" t="str">
        <x:v>米白粗织衣+暗朱腰带</x:v>
      </x:c>
      <x:c r="L15" s="31" t="str">
        <x:v>向火盆添木</x:v>
      </x:c>
      <x:c r="M15" s="31" t="str">
        <x:v>背景</x:v>
      </x:c>
      <x:c r="N15" s="31" t="str">
        <x:v>看火盆</x:v>
      </x:c>
      <x:c r="O15" s="31" t="str">
        <x:v>束袖+短上衣</x:v>
      </x:c>
      <x:c r="P15" s="31" t="str">
        <x:v>木柴</x:v>
      </x:c>
      <x:c r="Q15" s="31" t="str">
        <x:v>全身正面+左45°</x:v>
      </x:c>
      <x:c r="R15" s="31" t="str">
        <x:v>清晰</x:v>
      </x:c>
      <x:c r="S15" s="31" t="str">
        <x:v>P2</x:v>
      </x:c>
      <x:c r="T15" s="31" t="str">
        <x:v>未开始</x:v>
      </x:c>
    </x:row>
    <x:row r="16" ht="48" customHeight="1">
      <x:c r="A16" s="31" t="str">
        <x:v>G02</x:v>
      </x:c>
      <x:c r="B16" s="31" t="str">
        <x:v>G02-06</x:v>
      </x:c>
      <x:c r="C16" s="31" t="str">
        <x:v>@G02_S06</x:v>
      </x:c>
      <x:c r="D16" s="31" t="str">
        <x:v>年长劳作者</x:v>
      </x:c>
      <x:c r="E16" s="31" t="str">
        <x:v>男</x:v>
      </x:c>
      <x:c r="F16" s="31" t="str">
        <x:v>52–60</x:v>
      </x:c>
      <x:c r="G16" s="31" t="str">
        <x:v>中等偏矮</x:v>
      </x:c>
      <x:c r="H16" s="31" t="str">
        <x:v>瘦韧</x:v>
      </x:c>
      <x:c r="I16" s="31" t="str">
        <x:v>矩形脸</x:v>
      </x:c>
      <x:c r="J16" s="31" t="str">
        <x:v>低髻、灰须</x:v>
      </x:c>
      <x:c r="K16" s="31" t="str">
        <x:v>土褐粗织衣</x:v>
      </x:c>
      <x:c r="L16" s="31" t="str">
        <x:v>端陶器穿过背景</x:v>
      </x:c>
      <x:c r="M16" s="31" t="str">
        <x:v>背景</x:v>
      </x:c>
      <x:c r="N16" s="31" t="str">
        <x:v>沿行进方向</x:v>
      </x:c>
      <x:c r="O16" s="31" t="str">
        <x:v>灰须+陶罐轮廓</x:v>
      </x:c>
      <x:c r="P16" s="31" t="str">
        <x:v>陶罐</x:v>
      </x:c>
      <x:c r="Q16" s="31" t="str">
        <x:v>全身正面+右45°</x:v>
      </x:c>
      <x:c r="R16" s="31" t="str">
        <x:v>清晰</x:v>
      </x:c>
      <x:c r="S16" s="31" t="str">
        <x:v>P2</x:v>
      </x:c>
      <x:c r="T16" s="31" t="str">
        <x:v>未开始</x:v>
      </x:c>
    </x:row>
    <x:row r="17" ht="48" customHeight="1">
      <x:c r="A17" s="31" t="str">
        <x:v>G03</x:v>
      </x:c>
      <x:c r="B17" s="31" t="str">
        <x:v>G03-01</x:v>
      </x:c>
      <x:c r="C17" s="31" t="str">
        <x:v>@G03_ENVOY</x:v>
      </x:c>
      <x:c r="D17" s="31" t="str">
        <x:v>齐地使者</x:v>
      </x:c>
      <x:c r="E17" s="31" t="str">
        <x:v>男</x:v>
      </x:c>
      <x:c r="F17" s="31" t="str">
        <x:v>38–44</x:v>
      </x:c>
      <x:c r="G17" s="31" t="str">
        <x:v>中等偏高</x:v>
      </x:c>
      <x:c r="H17" s="31" t="str">
        <x:v>清瘦</x:v>
      </x:c>
      <x:c r="I17" s="31" t="str">
        <x:v>长椭圆</x:v>
      </x:c>
      <x:c r="J17" s="31" t="str">
        <x:v>窄冠或整齐低髻、短须</x:v>
      </x:c>
      <x:c r="K17" s="31" t="str">
        <x:v>深青灰细织长衣</x:v>
      </x:c>
      <x:c r="L17" s="31" t="str">
        <x:v>双手递呈漆匣</x:v>
      </x:c>
      <x:c r="M17" s="31" t="str">
        <x:v>中景</x:v>
      </x:c>
      <x:c r="N17" s="31" t="str">
        <x:v>礼貌看向FL45</x:v>
      </x:c>
      <x:c r="O17" s="31" t="str">
        <x:v>深青灰长线条</x:v>
      </x:c>
      <x:c r="P17" s="31" t="str">
        <x:v>P10漆匣/P11印信</x:v>
      </x:c>
      <x:c r="Q17" s="31" t="str">
        <x:v>单人正面+左45°</x:v>
      </x:c>
      <x:c r="R17" s="31" t="str">
        <x:v>清晰</x:v>
      </x:c>
      <x:c r="S17" s="31" t="str">
        <x:v>P0</x:v>
      </x:c>
      <x:c r="T17" s="31" t="str">
        <x:v>未开始</x:v>
      </x:c>
    </x:row>
    <x:row r="18" ht="48" customHeight="1">
      <x:c r="A18" s="31" t="str">
        <x:v>G03</x:v>
      </x:c>
      <x:c r="B18" s="31" t="str">
        <x:v>G03-02</x:v>
      </x:c>
      <x:c r="C18" s="31" t="str">
        <x:v>@G03_ATTENDANT_A</x:v>
      </x:c>
      <x:c r="D18" s="31" t="str">
        <x:v>年轻随从</x:v>
      </x:c>
      <x:c r="E18" s="31" t="str">
        <x:v>男</x:v>
      </x:c>
      <x:c r="F18" s="31" t="str">
        <x:v>26–32</x:v>
      </x:c>
      <x:c r="G18" s="31" t="str">
        <x:v>偏矮</x:v>
      </x:c>
      <x:c r="H18" s="31" t="str">
        <x:v>紧实</x:v>
      </x:c>
      <x:c r="I18" s="31" t="str">
        <x:v>方脸</x:v>
      </x:c>
      <x:c r="J18" s="31" t="str">
        <x:v>整髻、无须</x:v>
      </x:c>
      <x:c r="K18" s="31" t="str">
        <x:v>暗褐灰长衣</x:v>
      </x:c>
      <x:c r="L18" s="31" t="str">
        <x:v>持竹简静立</x:v>
      </x:c>
      <x:c r="M18" s="31" t="str">
        <x:v>背景</x:v>
      </x:c>
      <x:c r="N18" s="31" t="str">
        <x:v>看使者手势</x:v>
      </x:c>
      <x:c r="O18" s="31" t="str">
        <x:v>短身比例+方脸</x:v>
      </x:c>
      <x:c r="P18" s="31" t="str">
        <x:v>P04竹简</x:v>
      </x:c>
      <x:c r="Q18" s="31" t="str">
        <x:v>单人正面+右45°</x:v>
      </x:c>
      <x:c r="R18" s="31" t="str">
        <x:v>清晰</x:v>
      </x:c>
      <x:c r="S18" s="31" t="str">
        <x:v>P1</x:v>
      </x:c>
      <x:c r="T18" s="31" t="str">
        <x:v>未开始</x:v>
      </x:c>
    </x:row>
    <x:row r="19" ht="48" customHeight="1">
      <x:c r="A19" s="31" t="str">
        <x:v>G03</x:v>
      </x:c>
      <x:c r="B19" s="31" t="str">
        <x:v>G03-03</x:v>
      </x:c>
      <x:c r="C19" s="31" t="str">
        <x:v>@G03_ATTENDANT_B</x:v>
      </x:c>
      <x:c r="D19" s="31" t="str">
        <x:v>年长随从</x:v>
      </x:c>
      <x:c r="E19" s="31" t="str">
        <x:v>男</x:v>
      </x:c>
      <x:c r="F19" s="31" t="str">
        <x:v>45–52</x:v>
      </x:c>
      <x:c r="G19" s="31" t="str">
        <x:v>高</x:v>
      </x:c>
      <x:c r="H19" s="31" t="str">
        <x:v>瘦长</x:v>
      </x:c>
      <x:c r="I19" s="31" t="str">
        <x:v>倒三角脸</x:v>
      </x:c>
      <x:c r="J19" s="31" t="str">
        <x:v>低髻、鬓灰短须</x:v>
      </x:c>
      <x:c r="K19" s="31" t="str">
        <x:v>黑灰长衣</x:v>
      </x:c>
      <x:c r="L19" s="31" t="str">
        <x:v>空手袖内静候</x:v>
      </x:c>
      <x:c r="M19" s="31" t="str">
        <x:v>背景</x:v>
      </x:c>
      <x:c r="N19" s="31" t="str">
        <x:v>视线略低</x:v>
      </x:c>
      <x:c r="O19" s="31" t="str">
        <x:v>高瘦+倒三角脸</x:v>
      </x:c>
      <x:c r="P19" s="31" t="str">
        <x:v>无</x:v>
      </x:c>
      <x:c r="Q19" s="31" t="str">
        <x:v>单人正面+左45°</x:v>
      </x:c>
      <x:c r="R19" s="31" t="str">
        <x:v>清晰</x:v>
      </x:c>
      <x:c r="S19" s="31" t="str">
        <x:v>P1</x:v>
      </x:c>
      <x:c r="T19" s="31" t="str">
        <x:v>未开始</x:v>
      </x:c>
    </x:row>
    <x:row r="20" ht="48" customHeight="1">
      <x:c r="A20" s="31" t="str">
        <x:v>G04</x:v>
      </x:c>
      <x:c r="B20" s="31" t="str">
        <x:v>G04-01</x:v>
      </x:c>
      <x:c r="C20" s="31" t="str">
        <x:v>@G04_FARMER_M</x:v>
      </x:c>
      <x:c r="D20" s="31" t="str">
        <x:v>中年农人</x:v>
      </x:c>
      <x:c r="E20" s="31" t="str">
        <x:v>男</x:v>
      </x:c>
      <x:c r="F20" s="31" t="str">
        <x:v>46–55</x:v>
      </x:c>
      <x:c r="G20" s="31" t="str">
        <x:v>中等</x:v>
      </x:c>
      <x:c r="H20" s="31" t="str">
        <x:v>敦实</x:v>
      </x:c>
      <x:c r="I20" s="31" t="str">
        <x:v>宽脸</x:v>
      </x:c>
      <x:c r="J20" s="31" t="str">
        <x:v>低髻、短须</x:v>
      </x:c>
      <x:c r="K20" s="31" t="str">
        <x:v>土褐粗织衣+束袖</x:v>
      </x:c>
      <x:c r="L20" s="31" t="str">
        <x:v>清理沟渠</x:v>
      </x:c>
      <x:c r="M20" s="31" t="str">
        <x:v>中景</x:v>
      </x:c>
      <x:c r="N20" s="31" t="str">
        <x:v>看手中工具</x:v>
      </x:c>
      <x:c r="O20" s="31" t="str">
        <x:v>厚手掌+敦实体态</x:v>
      </x:c>
      <x:c r="P20" s="31" t="str">
        <x:v>P12农具</x:v>
      </x:c>
      <x:c r="Q20" s="31" t="str">
        <x:v>全身正面+左45°</x:v>
      </x:c>
      <x:c r="R20" s="31" t="str">
        <x:v>清晰</x:v>
      </x:c>
      <x:c r="S20" s="31" t="str">
        <x:v>P0</x:v>
      </x:c>
      <x:c r="T20" s="31" t="str">
        <x:v>未开始</x:v>
      </x:c>
    </x:row>
    <x:row r="21" ht="48" customHeight="1">
      <x:c r="A21" s="31" t="str">
        <x:v>G04</x:v>
      </x:c>
      <x:c r="B21" s="31" t="str">
        <x:v>G04-02</x:v>
      </x:c>
      <x:c r="C21" s="31" t="str">
        <x:v>@G04_FARMER_F</x:v>
      </x:c>
      <x:c r="D21" s="31" t="str">
        <x:v>筛谷农妇</x:v>
      </x:c>
      <x:c r="E21" s="31" t="str">
        <x:v>女</x:v>
      </x:c>
      <x:c r="F21" s="31" t="str">
        <x:v>38–48</x:v>
      </x:c>
      <x:c r="G21" s="31" t="str">
        <x:v>中等</x:v>
      </x:c>
      <x:c r="H21" s="31" t="str">
        <x:v>结实</x:v>
      </x:c>
      <x:c r="I21" s="31" t="str">
        <x:v>圆脸</x:v>
      </x:c>
      <x:c r="J21" s="31" t="str">
        <x:v>布帛束发</x:v>
      </x:c>
      <x:c r="K21" s="31" t="str">
        <x:v>米白粗织衣+灰蓝围布</x:v>
      </x:c>
      <x:c r="L21" s="31" t="str">
        <x:v>筛谷</x:v>
      </x:c>
      <x:c r="M21" s="31" t="str">
        <x:v>中景</x:v>
      </x:c>
      <x:c r="N21" s="31" t="str">
        <x:v>看谷物</x:v>
      </x:c>
      <x:c r="O21" s="31" t="str">
        <x:v>圆脸+灰蓝围布</x:v>
      </x:c>
      <x:c r="P21" s="31" t="str">
        <x:v>P07粮食容器</x:v>
      </x:c>
      <x:c r="Q21" s="31" t="str">
        <x:v>全身正面+右45°</x:v>
      </x:c>
      <x:c r="R21" s="31" t="str">
        <x:v>清晰</x:v>
      </x:c>
      <x:c r="S21" s="31" t="str">
        <x:v>P0</x:v>
      </x:c>
      <x:c r="T21" s="31" t="str">
        <x:v>未开始</x:v>
      </x:c>
    </x:row>
    <x:row r="22" ht="48" customHeight="1">
      <x:c r="A22" s="31" t="str">
        <x:v>G04</x:v>
      </x:c>
      <x:c r="B22" s="31" t="str">
        <x:v>G04-03</x:v>
      </x:c>
      <x:c r="C22" s="31" t="str">
        <x:v>@G04_BOATMAN_M</x:v>
      </x:c>
      <x:c r="D22" s="31" t="str">
        <x:v>青年舟工</x:v>
      </x:c>
      <x:c r="E22" s="31" t="str">
        <x:v>男</x:v>
      </x:c>
      <x:c r="F22" s="31" t="str">
        <x:v>24–30</x:v>
      </x:c>
      <x:c r="G22" s="31" t="str">
        <x:v>高</x:v>
      </x:c>
      <x:c r="H22" s="31" t="str">
        <x:v>瘦韧</x:v>
      </x:c>
      <x:c r="I22" s="31" t="str">
        <x:v>窄长脸</x:v>
      </x:c>
      <x:c r="J22" s="31" t="str">
        <x:v>高髻、无须</x:v>
      </x:c>
      <x:c r="K22" s="31" t="str">
        <x:v>灰蓝短衣+束袖</x:v>
      </x:c>
      <x:c r="L22" s="31" t="str">
        <x:v>接递重袋</x:v>
      </x:c>
      <x:c r="M22" s="31" t="str">
        <x:v>前景</x:v>
      </x:c>
      <x:c r="N22" s="31" t="str">
        <x:v>看接触点</x:v>
      </x:c>
      <x:c r="O22" s="31" t="str">
        <x:v>长臂+灰蓝短衣</x:v>
      </x:c>
      <x:c r="P22" s="31" t="str">
        <x:v>P09/P20</x:v>
      </x:c>
      <x:c r="Q22" s="31" t="str">
        <x:v>全身正面+左45°</x:v>
      </x:c>
      <x:c r="R22" s="31" t="str">
        <x:v>清晰</x:v>
      </x:c>
      <x:c r="S22" s="31" t="str">
        <x:v>P0</x:v>
      </x:c>
      <x:c r="T22" s="31" t="str">
        <x:v>未开始</x:v>
      </x:c>
    </x:row>
    <x:row r="23" ht="48" customHeight="1">
      <x:c r="A23" s="31" t="str">
        <x:v>G04</x:v>
      </x:c>
      <x:c r="B23" s="31" t="str">
        <x:v>G04-04</x:v>
      </x:c>
      <x:c r="C23" s="31" t="str">
        <x:v>@G04_BOATWORKER_F</x:v>
      </x:c>
      <x:c r="D23" s="31" t="str">
        <x:v>舟运劳作者</x:v>
      </x:c>
      <x:c r="E23" s="31" t="str">
        <x:v>女</x:v>
      </x:c>
      <x:c r="F23" s="31" t="str">
        <x:v>30–38</x:v>
      </x:c>
      <x:c r="G23" s="31" t="str">
        <x:v>偏矮</x:v>
      </x:c>
      <x:c r="H23" s="31" t="str">
        <x:v>紧实</x:v>
      </x:c>
      <x:c r="I23" s="31" t="str">
        <x:v>鹅蛋脸</x:v>
      </x:c>
      <x:c r="J23" s="31" t="str">
        <x:v>低束发</x:v>
      </x:c>
      <x:c r="K23" s="31" t="str">
        <x:v>烟灰短衣+米白下裳</x:v>
      </x:c>
      <x:c r="L23" s="31" t="str">
        <x:v>扎紧麻绳</x:v>
      </x:c>
      <x:c r="M23" s="31" t="str">
        <x:v>中景</x:v>
      </x:c>
      <x:c r="N23" s="31" t="str">
        <x:v>看绳结</x:v>
      </x:c>
      <x:c r="O23" s="31" t="str">
        <x:v>低重心+短袖线条</x:v>
      </x:c>
      <x:c r="P23" s="31" t="str">
        <x:v>P20麻绳</x:v>
      </x:c>
      <x:c r="Q23" s="31" t="str">
        <x:v>全身正面+右45°</x:v>
      </x:c>
      <x:c r="R23" s="31" t="str">
        <x:v>清晰</x:v>
      </x:c>
      <x:c r="S23" s="31" t="str">
        <x:v>P1</x:v>
      </x:c>
      <x:c r="T23" s="31" t="str">
        <x:v>未开始</x:v>
      </x:c>
    </x:row>
    <x:row r="24" ht="48" customHeight="1">
      <x:c r="A24" s="31" t="str">
        <x:v>G04</x:v>
      </x:c>
      <x:c r="B24" s="31" t="str">
        <x:v>G04-05</x:v>
      </x:c>
      <x:c r="C24" s="31" t="str">
        <x:v>@G04_CARTER</x:v>
      </x:c>
      <x:c r="D24" s="31" t="str">
        <x:v>车夫</x:v>
      </x:c>
      <x:c r="E24" s="31" t="str">
        <x:v>男</x:v>
      </x:c>
      <x:c r="F24" s="31" t="str">
        <x:v>34–42</x:v>
      </x:c>
      <x:c r="G24" s="31" t="str">
        <x:v>中等偏高</x:v>
      </x:c>
      <x:c r="H24" s="31" t="str">
        <x:v>宽肩</x:v>
      </x:c>
      <x:c r="I24" s="31" t="str">
        <x:v>方颌脸</x:v>
      </x:c>
      <x:c r="J24" s="31" t="str">
        <x:v>整髻、短须</x:v>
      </x:c>
      <x:c r="K24" s="31" t="str">
        <x:v>深褐粗织衣</x:v>
      </x:c>
      <x:c r="L24" s="31" t="str">
        <x:v>推车/检查木轴</x:v>
      </x:c>
      <x:c r="M24" s="31" t="str">
        <x:v>中景</x:v>
      </x:c>
      <x:c r="N24" s="31" t="str">
        <x:v>看车轮</x:v>
      </x:c>
      <x:c r="O24" s="31" t="str">
        <x:v>宽肩+方颌</x:v>
      </x:c>
      <x:c r="P24" s="31" t="str">
        <x:v>P15木车</x:v>
      </x:c>
      <x:c r="Q24" s="31" t="str">
        <x:v>全身正面+左45°</x:v>
      </x:c>
      <x:c r="R24" s="31" t="str">
        <x:v>清晰</x:v>
      </x:c>
      <x:c r="S24" s="31" t="str">
        <x:v>P0</x:v>
      </x:c>
      <x:c r="T24" s="31" t="str">
        <x:v>未开始</x:v>
      </x:c>
    </x:row>
    <x:row r="25" ht="48" customHeight="1">
      <x:c r="A25" s="31" t="str">
        <x:v>G04</x:v>
      </x:c>
      <x:c r="B25" s="31" t="str">
        <x:v>G04-06</x:v>
      </x:c>
      <x:c r="C25" s="31" t="str">
        <x:v>@G04_PORTER_OLDER</x:v>
      </x:c>
      <x:c r="D25" s="31" t="str">
        <x:v>年长搬运者</x:v>
      </x:c>
      <x:c r="E25" s="31" t="str">
        <x:v>女</x:v>
      </x:c>
      <x:c r="F25" s="31" t="str">
        <x:v>55–65</x:v>
      </x:c>
      <x:c r="G25" s="31" t="str">
        <x:v>偏矮</x:v>
      </x:c>
      <x:c r="H25" s="31" t="str">
        <x:v>瘦韧</x:v>
      </x:c>
      <x:c r="I25" s="31" t="str">
        <x:v>矩形脸</x:v>
      </x:c>
      <x:c r="J25" s="31" t="str">
        <x:v>灰发布巾束发</x:v>
      </x:c>
      <x:c r="K25" s="31" t="str">
        <x:v>米灰粗织长衣</x:v>
      </x:c>
      <x:c r="L25" s="31" t="str">
        <x:v>搬竹筐后停稳</x:v>
      </x:c>
      <x:c r="M25" s="31" t="str">
        <x:v>背景</x:v>
      </x:c>
      <x:c r="N25" s="31" t="str">
        <x:v>看行进方向</x:v>
      </x:c>
      <x:c r="O25" s="31" t="str">
        <x:v>灰发布巾+瘦韧体态</x:v>
      </x:c>
      <x:c r="P25" s="31" t="str">
        <x:v>竹筐/布匹</x:v>
      </x:c>
      <x:c r="Q25" s="31" t="str">
        <x:v>全身正面+右45°</x:v>
      </x:c>
      <x:c r="R25" s="31" t="str">
        <x:v>清晰</x:v>
      </x:c>
      <x:c r="S25" s="31" t="str">
        <x:v>P1</x:v>
      </x:c>
      <x:c r="T25" s="31" t="str">
        <x:v>未开始</x:v>
      </x:c>
    </x:row>
    <x:row r="26" ht="48" customHeight="1">
      <x:c r="A26" s="31" t="str">
        <x:v>G05</x:v>
      </x:c>
      <x:c r="B26" s="31" t="str">
        <x:v>G05-01</x:v>
      </x:c>
      <x:c r="C26" s="31" t="str">
        <x:v>@G05_GRAIN_TRADER</x:v>
      </x:c>
      <x:c r="D26" s="31" t="str">
        <x:v>粮食商旅</x:v>
      </x:c>
      <x:c r="E26" s="31" t="str">
        <x:v>男</x:v>
      </x:c>
      <x:c r="F26" s="31" t="str">
        <x:v>36–44</x:v>
      </x:c>
      <x:c r="G26" s="31" t="str">
        <x:v>中等</x:v>
      </x:c>
      <x:c r="H26" s="31" t="str">
        <x:v>匀称</x:v>
      </x:c>
      <x:c r="I26" s="31" t="str">
        <x:v>椭圆脸</x:v>
      </x:c>
      <x:c r="J26" s="31" t="str">
        <x:v>低髻、短须</x:v>
      </x:c>
      <x:c r="K26" s="31" t="str">
        <x:v>土黄长衣+深褐腰带</x:v>
      </x:c>
      <x:c r="L26" s="31" t="str">
        <x:v>查看量器</x:v>
      </x:c>
      <x:c r="M26" s="31" t="str">
        <x:v>中景</x:v>
      </x:c>
      <x:c r="N26" s="31" t="str">
        <x:v>看刻线</x:v>
      </x:c>
      <x:c r="O26" s="31" t="str">
        <x:v>土黄长衣+细腰带</x:v>
      </x:c>
      <x:c r="P26" s="31" t="str">
        <x:v>P14容量器</x:v>
      </x:c>
      <x:c r="Q26" s="31" t="str">
        <x:v>全身正面+左45°</x:v>
      </x:c>
      <x:c r="R26" s="31" t="str">
        <x:v>清晰</x:v>
      </x:c>
      <x:c r="S26" s="31" t="str">
        <x:v>P0</x:v>
      </x:c>
      <x:c r="T26" s="31" t="str">
        <x:v>未开始</x:v>
      </x:c>
    </x:row>
    <x:row r="27" ht="48" customHeight="1">
      <x:c r="A27" s="31" t="str">
        <x:v>G05</x:v>
      </x:c>
      <x:c r="B27" s="31" t="str">
        <x:v>G05-02</x:v>
      </x:c>
      <x:c r="C27" s="31" t="str">
        <x:v>@G05_CLOTH_TRADER</x:v>
      </x:c>
      <x:c r="D27" s="31" t="str">
        <x:v>布帛商旅</x:v>
      </x:c>
      <x:c r="E27" s="31" t="str">
        <x:v>女</x:v>
      </x:c>
      <x:c r="F27" s="31" t="str">
        <x:v>28–36</x:v>
      </x:c>
      <x:c r="G27" s="31" t="str">
        <x:v>中等偏高</x:v>
      </x:c>
      <x:c r="H27" s="31" t="str">
        <x:v>修长</x:v>
      </x:c>
      <x:c r="I27" s="31" t="str">
        <x:v>心形脸</x:v>
      </x:c>
      <x:c r="J27" s="31" t="str">
        <x:v>低束发</x:v>
      </x:c>
      <x:c r="K27" s="31" t="str">
        <x:v>灰蓝长衣+米白披帛</x:v>
      </x:c>
      <x:c r="L27" s="31" t="str">
        <x:v>检查布匹纹理</x:v>
      </x:c>
      <x:c r="M27" s="31" t="str">
        <x:v>中景</x:v>
      </x:c>
      <x:c r="N27" s="31" t="str">
        <x:v>看布匹</x:v>
      </x:c>
      <x:c r="O27" s="31" t="str">
        <x:v>灰蓝纵向轮廓</x:v>
      </x:c>
      <x:c r="P27" s="31" t="str">
        <x:v>P16布帛</x:v>
      </x:c>
      <x:c r="Q27" s="31" t="str">
        <x:v>全身正面+右45°</x:v>
      </x:c>
      <x:c r="R27" s="31" t="str">
        <x:v>清晰</x:v>
      </x:c>
      <x:c r="S27" s="31" t="str">
        <x:v>P1</x:v>
      </x:c>
      <x:c r="T27" s="31" t="str">
        <x:v>未开始</x:v>
      </x:c>
    </x:row>
    <x:row r="28" ht="48" customHeight="1">
      <x:c r="A28" s="31" t="str">
        <x:v>G05</x:v>
      </x:c>
      <x:c r="B28" s="31" t="str">
        <x:v>G05-03</x:v>
      </x:c>
      <x:c r="C28" s="31" t="str">
        <x:v>@G05_POTTERY_TRADER</x:v>
      </x:c>
      <x:c r="D28" s="31" t="str">
        <x:v>陶器商旅</x:v>
      </x:c>
      <x:c r="E28" s="31" t="str">
        <x:v>男</x:v>
      </x:c>
      <x:c r="F28" s="31" t="str">
        <x:v>48–56</x:v>
      </x:c>
      <x:c r="G28" s="31" t="str">
        <x:v>偏矮</x:v>
      </x:c>
      <x:c r="H28" s="31" t="str">
        <x:v>敦实</x:v>
      </x:c>
      <x:c r="I28" s="31" t="str">
        <x:v>宽圆脸</x:v>
      </x:c>
      <x:c r="J28" s="31" t="str">
        <x:v>低髻、灰须</x:v>
      </x:c>
      <x:c r="K28" s="31" t="str">
        <x:v>暗赭粗织衣</x:v>
      </x:c>
      <x:c r="L28" s="31" t="str">
        <x:v>托住陶罐底部</x:v>
      </x:c>
      <x:c r="M28" s="31" t="str">
        <x:v>中景</x:v>
      </x:c>
      <x:c r="N28" s="31" t="str">
        <x:v>看对方</x:v>
      </x:c>
      <x:c r="O28" s="31" t="str">
        <x:v>敦实+暗赭块面</x:v>
      </x:c>
      <x:c r="P28" s="31" t="str">
        <x:v>P17陶器</x:v>
      </x:c>
      <x:c r="Q28" s="31" t="str">
        <x:v>全身正面+左45°</x:v>
      </x:c>
      <x:c r="R28" s="31" t="str">
        <x:v>清晰</x:v>
      </x:c>
      <x:c r="S28" s="31" t="str">
        <x:v>P1</x:v>
      </x:c>
      <x:c r="T28" s="31" t="str">
        <x:v>未开始</x:v>
      </x:c>
    </x:row>
    <x:row r="29" ht="48" customHeight="1">
      <x:c r="A29" s="31" t="str">
        <x:v>G05</x:v>
      </x:c>
      <x:c r="B29" s="31" t="str">
        <x:v>G05-04</x:v>
      </x:c>
      <x:c r="C29" s="31" t="str">
        <x:v>@G05_BAMBOO_TRADER</x:v>
      </x:c>
      <x:c r="D29" s="31" t="str">
        <x:v>竹木商旅</x:v>
      </x:c>
      <x:c r="E29" s="31" t="str">
        <x:v>男</x:v>
      </x:c>
      <x:c r="F29" s="31" t="str">
        <x:v>25–32</x:v>
      </x:c>
      <x:c r="G29" s="31" t="str">
        <x:v>高</x:v>
      </x:c>
      <x:c r="H29" s="31" t="str">
        <x:v>精瘦</x:v>
      </x:c>
      <x:c r="I29" s="31" t="str">
        <x:v>菱形脸</x:v>
      </x:c>
      <x:c r="J29" s="31" t="str">
        <x:v>高髻、无须</x:v>
      </x:c>
      <x:c r="K29" s="31" t="str">
        <x:v>米白短衣+灰褐护腿</x:v>
      </x:c>
      <x:c r="L29" s="31" t="str">
        <x:v>捆扎竹木</x:v>
      </x:c>
      <x:c r="M29" s="31" t="str">
        <x:v>背景</x:v>
      </x:c>
      <x:c r="N29" s="31" t="str">
        <x:v>看绳结</x:v>
      </x:c>
      <x:c r="O29" s="31" t="str">
        <x:v>高瘦+长束材</x:v>
      </x:c>
      <x:c r="P29" s="31" t="str">
        <x:v>竹木/P20</x:v>
      </x:c>
      <x:c r="Q29" s="31" t="str">
        <x:v>全身正面+右45°</x:v>
      </x:c>
      <x:c r="R29" s="31" t="str">
        <x:v>清晰</x:v>
      </x:c>
      <x:c r="S29" s="31" t="str">
        <x:v>P2</x:v>
      </x:c>
      <x:c r="T29" s="31" t="str">
        <x:v>未开始</x:v>
      </x:c>
    </x:row>
    <x:row r="30" ht="48" customHeight="1">
      <x:c r="A30" s="31" t="str">
        <x:v>G05</x:v>
      </x:c>
      <x:c r="B30" s="31" t="str">
        <x:v>G05-05</x:v>
      </x:c>
      <x:c r="C30" s="31" t="str">
        <x:v>@G05_CARAVAN_LEAD</x:v>
      </x:c>
      <x:c r="D30" s="31" t="str">
        <x:v>商队组织者</x:v>
      </x:c>
      <x:c r="E30" s="31" t="str">
        <x:v>女</x:v>
      </x:c>
      <x:c r="F30" s="31" t="str">
        <x:v>40–48</x:v>
      </x:c>
      <x:c r="G30" s="31" t="str">
        <x:v>中等</x:v>
      </x:c>
      <x:c r="H30" s="31" t="str">
        <x:v>结实</x:v>
      </x:c>
      <x:c r="I30" s="31" t="str">
        <x:v>方脸</x:v>
      </x:c>
      <x:c r="J30" s="31" t="str">
        <x:v>布带束发</x:v>
      </x:c>
      <x:c r="K30" s="31" t="str">
        <x:v>黑褐长衣+暗朱细边</x:v>
      </x:c>
      <x:c r="L30" s="31" t="str">
        <x:v>点头确认交付</x:v>
      </x:c>
      <x:c r="M30" s="31" t="str">
        <x:v>中景</x:v>
      </x:c>
      <x:c r="N30" s="31" t="str">
        <x:v>看TZG60</x:v>
      </x:c>
      <x:c r="O30" s="31" t="str">
        <x:v>方脸+暗朱细边</x:v>
      </x:c>
      <x:c r="P30" s="31" t="str">
        <x:v>P04竹简</x:v>
      </x:c>
      <x:c r="Q30" s="31" t="str">
        <x:v>全身正面+左45°</x:v>
      </x:c>
      <x:c r="R30" s="31" t="str">
        <x:v>清晰</x:v>
      </x:c>
      <x:c r="S30" s="31" t="str">
        <x:v>P1</x:v>
      </x:c>
      <x:c r="T30" s="31" t="str">
        <x:v>未开始</x:v>
      </x:c>
    </x:row>
    <x:row r="31" ht="48" customHeight="1">
      <x:c r="A31" s="31" t="str">
        <x:v>G05</x:v>
      </x:c>
      <x:c r="B31" s="31" t="str">
        <x:v>G05-06</x:v>
      </x:c>
      <x:c r="C31" s="31" t="str">
        <x:v>@G05_ELDER_TRADER</x:v>
      </x:c>
      <x:c r="D31" s="31" t="str">
        <x:v>年长商旅</x:v>
      </x:c>
      <x:c r="E31" s="31" t="str">
        <x:v>男</x:v>
      </x:c>
      <x:c r="F31" s="31" t="str">
        <x:v>56–65</x:v>
      </x:c>
      <x:c r="G31" s="31" t="str">
        <x:v>中等偏高</x:v>
      </x:c>
      <x:c r="H31" s="31" t="str">
        <x:v>瘦长</x:v>
      </x:c>
      <x:c r="I31" s="31" t="str">
        <x:v>长方脸</x:v>
      </x:c>
      <x:c r="J31" s="31" t="str">
        <x:v>低髻、银灰短须</x:v>
      </x:c>
      <x:c r="K31" s="31" t="str">
        <x:v>海盐灰长衣</x:v>
      </x:c>
      <x:c r="L31" s="31" t="str">
        <x:v>查看衡器后致意</x:v>
      </x:c>
      <x:c r="M31" s="31" t="str">
        <x:v>中景</x:v>
      </x:c>
      <x:c r="N31" s="31" t="str">
        <x:v>看衡杆再看对方</x:v>
      </x:c>
      <x:c r="O31" s="31" t="str">
        <x:v>银灰须+海盐灰</x:v>
      </x:c>
      <x:c r="P31" s="31" t="str">
        <x:v>P13环权天平</x:v>
      </x:c>
      <x:c r="Q31" s="31" t="str">
        <x:v>全身正面+右45°</x:v>
      </x:c>
      <x:c r="R31" s="31" t="str">
        <x:v>清晰</x:v>
      </x:c>
      <x:c r="S31" s="31" t="str">
        <x:v>P1</x:v>
      </x:c>
      <x:c r="T31" s="31" t="str">
        <x:v>未开始</x:v>
      </x:c>
    </x:row>
    <x:row r="32" ht="48" customHeight="1">
      <x:c r="A32" s="31" t="str">
        <x:v>G06</x:v>
      </x:c>
      <x:c r="B32" s="31" t="str">
        <x:v>G06-H01</x:v>
      </x:c>
      <x:c r="C32" s="31" t="str">
        <x:v>@G06_HAND_YOUNG</x:v>
      </x:c>
      <x:c r="D32" s="31" t="str">
        <x:v>年轻香客手</x:v>
      </x:c>
      <x:c r="E32" s="31" t="str">
        <x:v>不明示</x:v>
      </x:c>
      <x:c r="F32" s="31" t="str">
        <x:v>25–35</x:v>
      </x:c>
      <x:c r="G32" s="31" t="str">
        <x:v>仅手部</x:v>
      </x:c>
      <x:c r="H32" s="31" t="str">
        <x:v>手指修长</x:v>
      </x:c>
      <x:c r="I32" s="31" t="str">
        <x:v>不可见</x:v>
      </x:c>
      <x:c r="J32" s="31" t="str">
        <x:v>袖口局部</x:v>
      </x:c>
      <x:c r="K32" s="31" t="str">
        <x:v>年代模糊灰蓝袖口</x:v>
      </x:c>
      <x:c r="L32" s="31" t="str">
        <x:v>放下一枚果品</x:v>
      </x:c>
      <x:c r="M32" s="31" t="str">
        <x:v>前景</x:v>
      </x:c>
      <x:c r="N32" s="31" t="str">
        <x:v>不适用</x:v>
      </x:c>
      <x:c r="O32" s="31" t="str">
        <x:v>修长手+灰蓝袖</x:v>
      </x:c>
      <x:c r="P32" s="31" t="str">
        <x:v>果品</x:v>
      </x:c>
      <x:c r="Q32" s="31" t="str">
        <x:v>手部正俯+45°</x:v>
      </x:c>
      <x:c r="R32" s="31" t="str">
        <x:v>不显示脸</x:v>
      </x:c>
      <x:c r="S32" s="31" t="str">
        <x:v>P0</x:v>
      </x:c>
      <x:c r="T32" s="31" t="str">
        <x:v>未开始</x:v>
      </x:c>
    </x:row>
    <x:row r="33" ht="48" customHeight="1">
      <x:c r="A33" s="31" t="str">
        <x:v>G06</x:v>
      </x:c>
      <x:c r="B33" s="31" t="str">
        <x:v>G06-H02</x:v>
      </x:c>
      <x:c r="C33" s="31" t="str">
        <x:v>@G06_HAND_ELDER</x:v>
      </x:c>
      <x:c r="D33" s="31" t="str">
        <x:v>年长香客手</x:v>
      </x:c>
      <x:c r="E33" s="31" t="str">
        <x:v>不明示</x:v>
      </x:c>
      <x:c r="F33" s="31" t="str">
        <x:v>55–70</x:v>
      </x:c>
      <x:c r="G33" s="31" t="str">
        <x:v>仅手部</x:v>
      </x:c>
      <x:c r="H33" s="31" t="str">
        <x:v>骨节明显</x:v>
      </x:c>
      <x:c r="I33" s="31" t="str">
        <x:v>不可见</x:v>
      </x:c>
      <x:c r="J33" s="31" t="str">
        <x:v>袖口局部</x:v>
      </x:c>
      <x:c r="K33" s="31" t="str">
        <x:v>年代模糊深褐袖口</x:v>
      </x:c>
      <x:c r="L33" s="31" t="str">
        <x:v>放下一小撮谷物</x:v>
      </x:c>
      <x:c r="M33" s="31" t="str">
        <x:v>前景</x:v>
      </x:c>
      <x:c r="N33" s="31" t="str">
        <x:v>不适用</x:v>
      </x:c>
      <x:c r="O33" s="31" t="str">
        <x:v>骨节手+深褐袖</x:v>
      </x:c>
      <x:c r="P33" s="31" t="str">
        <x:v>P18谷种</x:v>
      </x:c>
      <x:c r="Q33" s="31" t="str">
        <x:v>手部正俯+45°</x:v>
      </x:c>
      <x:c r="R33" s="31" t="str">
        <x:v>不显示脸</x:v>
      </x:c>
      <x:c r="S33" s="31" t="str">
        <x:v>P0</x:v>
      </x:c>
      <x:c r="T33" s="31" t="str">
        <x:v>未开始</x:v>
      </x:c>
    </x:row>
    <x:row r="34" ht="48" customHeight="1">
      <x:c r="A34" s="31" t="str">
        <x:v>G06</x:v>
      </x:c>
      <x:c r="B34" s="31" t="str">
        <x:v>G06-H03</x:v>
      </x:c>
      <x:c r="C34" s="31" t="str">
        <x:v>@G06_HAND_WORKED</x:v>
      </x:c>
      <x:c r="D34" s="31" t="str">
        <x:v>劳作痕迹香客手</x:v>
      </x:c>
      <x:c r="E34" s="31" t="str">
        <x:v>不明示</x:v>
      </x:c>
      <x:c r="F34" s="31" t="str">
        <x:v>35–50</x:v>
      </x:c>
      <x:c r="G34" s="31" t="str">
        <x:v>仅手部</x:v>
      </x:c>
      <x:c r="H34" s="31" t="str">
        <x:v>掌指粗糙</x:v>
      </x:c>
      <x:c r="I34" s="31" t="str">
        <x:v>不可见</x:v>
      </x:c>
      <x:c r="J34" s="31" t="str">
        <x:v>袖口局部</x:v>
      </x:c>
      <x:c r="K34" s="31" t="str">
        <x:v>年代模糊米灰袖口</x:v>
      </x:c>
      <x:c r="L34" s="31" t="str">
        <x:v>摆正朴素陶供物</x:v>
      </x:c>
      <x:c r="M34" s="31" t="str">
        <x:v>前景</x:v>
      </x:c>
      <x:c r="N34" s="31" t="str">
        <x:v>不适用</x:v>
      </x:c>
      <x:c r="O34" s="31" t="str">
        <x:v>粗糙手+米灰袖</x:v>
      </x:c>
      <x:c r="P34" s="31" t="str">
        <x:v>素陶供物</x:v>
      </x:c>
      <x:c r="Q34" s="31" t="str">
        <x:v>手部正俯+45°</x:v>
      </x:c>
      <x:c r="R34" s="31" t="str">
        <x:v>不显示脸</x:v>
      </x:c>
      <x:c r="S34" s="31" t="str">
        <x:v>P1</x:v>
      </x:c>
      <x:c r="T34" s="31" t="str">
        <x:v>未开始</x:v>
      </x:c>
    </x:row>
    <x:row r="35" ht="48" customHeight="1">
      <x:c r="A35" s="31" t="str">
        <x:v>G06</x:v>
      </x:c>
      <x:c r="B35" s="31" t="str">
        <x:v>G06-S01</x:v>
      </x:c>
      <x:c r="C35" s="31" t="str">
        <x:v>@G06_SILHOUETTE_F</x:v>
      </x:c>
      <x:c r="D35" s="31" t="str">
        <x:v>香客剪影A</x:v>
      </x:c>
      <x:c r="E35" s="31" t="str">
        <x:v>女形剪影</x:v>
      </x:c>
      <x:c r="F35" s="31" t="str">
        <x:v>30–45</x:v>
      </x:c>
      <x:c r="G35" s="31" t="str">
        <x:v>中等</x:v>
      </x:c>
      <x:c r="H35" s="31" t="str">
        <x:v>修长剪影</x:v>
      </x:c>
      <x:c r="I35" s="31" t="str">
        <x:v>不可辨</x:v>
      </x:c>
      <x:c r="J35" s="31" t="str">
        <x:v>简单束发轮廓</x:v>
      </x:c>
      <x:c r="K35" s="31" t="str">
        <x:v>无明确朝代、无现代结构</x:v>
      </x:c>
      <x:c r="L35" s="31" t="str">
        <x:v>侧身离开供桌</x:v>
      </x:c>
      <x:c r="M35" s="31" t="str">
        <x:v>背景</x:v>
      </x:c>
      <x:c r="N35" s="31" t="str">
        <x:v>看向神像</x:v>
      </x:c>
      <x:c r="O35" s="31" t="str">
        <x:v>窄肩长线条</x:v>
      </x:c>
      <x:c r="P35" s="31" t="str">
        <x:v>无</x:v>
      </x:c>
      <x:c r="Q35" s="31" t="str">
        <x:v>背光侧剪影</x:v>
      </x:c>
      <x:c r="R35" s="31" t="str">
        <x:v>不显示五官</x:v>
      </x:c>
      <x:c r="S35" s="31" t="str">
        <x:v>P1</x:v>
      </x:c>
      <x:c r="T35" s="31" t="str">
        <x:v>未开始</x:v>
      </x:c>
    </x:row>
    <x:row r="36" ht="48" customHeight="1">
      <x:c r="A36" s="31" t="str">
        <x:v>G06</x:v>
      </x:c>
      <x:c r="B36" s="31" t="str">
        <x:v>G06-S02</x:v>
      </x:c>
      <x:c r="C36" s="31" t="str">
        <x:v>@G06_SILHOUETTE_M</x:v>
      </x:c>
      <x:c r="D36" s="31" t="str">
        <x:v>香客剪影B</x:v>
      </x:c>
      <x:c r="E36" s="31" t="str">
        <x:v>男形剪影</x:v>
      </x:c>
      <x:c r="F36" s="31" t="str">
        <x:v>45–60</x:v>
      </x:c>
      <x:c r="G36" s="31" t="str">
        <x:v>偏高</x:v>
      </x:c>
      <x:c r="H36" s="31" t="str">
        <x:v>宽肩剪影</x:v>
      </x:c>
      <x:c r="I36" s="31" t="str">
        <x:v>不可辨</x:v>
      </x:c>
      <x:c r="J36" s="31" t="str">
        <x:v>低髻轮廓</x:v>
      </x:c>
      <x:c r="K36" s="31" t="str">
        <x:v>无明确朝代、无现代结构</x:v>
      </x:c>
      <x:c r="L36" s="31" t="str">
        <x:v>短暂停立</x:v>
      </x:c>
      <x:c r="M36" s="31" t="str">
        <x:v>背景</x:v>
      </x:c>
      <x:c r="N36" s="31" t="str">
        <x:v>看向神像</x:v>
      </x:c>
      <x:c r="O36" s="31" t="str">
        <x:v>宽肩短颈</x:v>
      </x:c>
      <x:c r="P36" s="31" t="str">
        <x:v>无</x:v>
      </x:c>
      <x:c r="Q36" s="31" t="str">
        <x:v>背光侧剪影</x:v>
      </x:c>
      <x:c r="R36" s="31" t="str">
        <x:v>不显示五官</x:v>
      </x:c>
      <x:c r="S36" s="31" t="str">
        <x:v>P1</x:v>
      </x:c>
      <x:c r="T36" s="31" t="str">
        <x:v>未开始</x:v>
      </x:c>
    </x:row>
    <x:row r="37" ht="48" customHeight="1">
      <x:c r="A37" s="32" t="str">
        <x:v>G06</x:v>
      </x:c>
      <x:c r="B37" s="32" t="str">
        <x:v>G06-S03</x:v>
      </x:c>
      <x:c r="C37" s="32" t="str">
        <x:v>@G06_SILHOUETTE_ELDER</x:v>
      </x:c>
      <x:c r="D37" s="32" t="str">
        <x:v>年长香客剪影</x:v>
      </x:c>
      <x:c r="E37" s="32" t="str">
        <x:v>不明示</x:v>
      </x:c>
      <x:c r="F37" s="32" t="str">
        <x:v>60+</x:v>
      </x:c>
      <x:c r="G37" s="32" t="str">
        <x:v>偏矮</x:v>
      </x:c>
      <x:c r="H37" s="32" t="str">
        <x:v>微驼但自然</x:v>
      </x:c>
      <x:c r="I37" s="32" t="str">
        <x:v>不可辨</x:v>
      </x:c>
      <x:c r="J37" s="32" t="str">
        <x:v>发式仅轮廓</x:v>
      </x:c>
      <x:c r="K37" s="32" t="str">
        <x:v>无明确朝代、无现代结构</x:v>
      </x:c>
      <x:c r="L37" s="32" t="str">
        <x:v>扶案后离开</x:v>
      </x:c>
      <x:c r="M37" s="32" t="str">
        <x:v>背景</x:v>
      </x:c>
      <x:c r="N37" s="32" t="str">
        <x:v>视线略低</x:v>
      </x:c>
      <x:c r="O37" s="32" t="str">
        <x:v>偏矮微驼轮廓</x:v>
      </x:c>
      <x:c r="P37" s="32" t="str">
        <x:v>无</x:v>
      </x:c>
      <x:c r="Q37" s="32" t="str">
        <x:v>背光背面剪影</x:v>
      </x:c>
      <x:c r="R37" s="32" t="str">
        <x:v>不显示五官</x:v>
      </x:c>
      <x:c r="S37" s="32" t="str">
        <x:v>P2</x:v>
      </x:c>
      <x:c r="T37" s="32" t="str">
        <x:v>未开始</x:v>
      </x:c>
    </x:row>
  </x:sheetData>
  <x:mergeCells>
    <x:mergeCell ref="A1:T1"/>
    <x:mergeCell ref="A2:T2"/>
  </x:mergeCells>
  <x:conditionalFormatting sqref="T5:T37">
    <x:cfRule type="containsText" dxfId="0" priority="1" operator="containsText" text="已通过"/>
    <x:cfRule type="containsText" dxfId="1" priority="2" operator="containsText" text="进行中"/>
    <x:cfRule type="containsText" dxfId="2" priority="3" operator="containsText" text="待导演确认"/>
    <x:cfRule type="containsText" dxfId="3" priority="4" operator="containsText" text="需重做"/>
    <x:cfRule type="containsText" dxfId="4" priority="5" operator="containsText" text="阻塞"/>
  </x:conditionalFormatting>
  <x:dataValidations count="2">
    <x:dataValidation type="list" sqref="T5:T37">
      <x:formula1>"未开始,进行中,待导演确认,未检查,已通过,需重做,阻塞"</x:formula1>
    </x:dataValidation>
    <x:dataValidation type="list" sqref="S5:S37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b8f2e1438f433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4" hidden="0" customWidth="1"/>
    <x:col min="4" max="4" width="8" hidden="0" customWidth="1"/>
    <x:col min="5" max="5" width="28" hidden="0" customWidth="1"/>
    <x:col min="6" max="6" width="25" hidden="0" customWidth="1"/>
    <x:col min="7" max="7" width="27" hidden="0" customWidth="1"/>
    <x:col min="8" max="8" width="28" hidden="0" customWidth="1"/>
    <x:col min="9" max="9" width="25" hidden="0" customWidth="1"/>
    <x:col min="10" max="10" width="28" hidden="0" customWidth="1"/>
    <x:col min="11" max="11" width="29" hidden="0" customWidth="1"/>
    <x:col min="12" max="12" width="34" hidden="0" customWidth="1"/>
    <x:col min="13" max="13" width="30" hidden="0" customWidth="1"/>
    <x:col min="14" max="14" width="8" hidden="0" customWidth="1"/>
    <x:col min="15" max="15" width="11" hidden="0" customWidth="1"/>
  </x:cols>
  <x:sheetData>
    <x:row r="1" ht="34" customHeight="1">
      <x:c r="A1" s="3" t="str">
        <x:v>六组 Casting Sheet 生成结构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7" t="str">
        <x:v>每组采用不同的版式和人数规则。G03 是精确三人组；G06 是局部资产与剪影组，两者均禁止套用通用六人模板。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9" t="str">
        <x:v>组别</x:v>
      </x:c>
      <x:c r="B4" s="20" t="str">
        <x:v>名称</x:v>
      </x:c>
      <x:c r="C4" s="20" t="str">
        <x:v>交付包</x:v>
      </x:c>
      <x:c r="D4" s="20" t="str">
        <x:v>槽位数</x:v>
      </x:c>
      <x:c r="E4" s="20" t="str">
        <x:v>页面结构</x:v>
      </x:c>
      <x:c r="F4" s="20" t="str">
        <x:v>必要视图</x:v>
      </x:c>
      <x:c r="G4" s="20" t="str">
        <x:v>差异维度</x:v>
      </x:c>
      <x:c r="H4" s="20" t="str">
        <x:v>服装材质基线</x:v>
      </x:c>
      <x:c r="I4" s="20" t="str">
        <x:v>道具分配</x:v>
      </x:c>
      <x:c r="J4" s="20" t="str">
        <x:v>动作分层</x:v>
      </x:c>
      <x:c r="K4" s="20" t="str">
        <x:v>不同步规则</x:v>
      </x:c>
      <x:c r="L4" s="20" t="str">
        <x:v>镜头覆盖</x:v>
      </x:c>
      <x:c r="M4" s="20" t="str">
        <x:v>例外/提醒</x:v>
      </x:c>
      <x:c r="N4" s="20" t="str">
        <x:v>优先级</x:v>
      </x:c>
      <x:c r="O4" s="21" t="str">
        <x:v>状态</x:v>
      </x:c>
    </x:row>
    <x:row r="5" ht="48" customHeight="1">
      <x:c r="A5" s="30" t="str">
        <x:v>G01</x:v>
      </x:c>
      <x:c r="B5" s="30" t="str">
        <x:v>越军士卒</x:v>
      </x:c>
      <x:c r="C5" s="30" t="str">
        <x:v>6人单体选角表+雨湿装备变体</x:v>
      </x:c>
      <x:c r="D5" s="30" t="n">
        <x:v>6</x:v>
      </x:c>
      <x:c r="E5" s="30" t="str">
        <x:v>2×3人物格；另页对应正面/45°</x:v>
      </x:c>
      <x:c r="F5" s="30" t="str">
        <x:v>每人全身正面+一个45°</x:v>
      </x:c>
      <x:c r="G5" s="30" t="str">
        <x:v>20–45岁男性为主；年龄、身高、体态分散</x:v>
      </x:c>
      <x:c r="H5" s="30" t="str">
        <x:v>暗灰麻衣、皮革/漆革局部防护</x:v>
      </x:c>
      <x:c r="I5" s="30" t="str">
        <x:v>盾/剑/戈分配到不同人；不全员持同器物</x:v>
      </x:c>
      <x:c r="J5" s="30" t="str">
        <x:v>等待、握柄、靠柱、搬装备错峰</x:v>
      </x:c>
      <x:c r="K5" s="30" t="str">
        <x:v>不得排成阅兵方阵；不齐步、不同时转头</x:v>
      </x:c>
      <x:c r="L5" s="30" t="str">
        <x:v>S02-01、S02-02</x:v>
      </x:c>
      <x:c r="M5" s="30" t="str">
        <x:v>通用六人结构可用，但必须逐人单独锁脸</x:v>
      </x:c>
      <x:c r="N5" s="30" t="str">
        <x:v>P0</x:v>
      </x:c>
      <x:c r="O5" s="30" t="str">
        <x:v>未开始</x:v>
      </x:c>
    </x:row>
    <x:row r="6" ht="48" customHeight="1">
      <x:c r="A6" s="31" t="str">
        <x:v>G02</x:v>
      </x:c>
      <x:c r="B6" s="31" t="str">
        <x:v>越国庆功人群</x:v>
      </x:c>
      <x:c r="C6" s="31" t="str">
        <x:v>官吏×2+士卒×2+劳作者×2</x:v>
      </x:c>
      <x:c r="D6" s="31" t="n">
        <x:v>6</x:v>
      </x:c>
      <x:c r="E6" s="31" t="str">
        <x:v>按前/中/后三层排列，不做同一排</x:v>
      </x:c>
      <x:c r="F6" s="31" t="str">
        <x:v>单人全身母版+三层组合预览</x:v>
      </x:c>
      <x:c r="G6" s="31" t="str">
        <x:v>男女、年龄、身份混合</x:v>
      </x:c>
      <x:c r="H6" s="31" t="str">
        <x:v>暗朱、黑褐、米白形成局部暖区</x:v>
      </x:c>
      <x:c r="I6" s="31" t="str">
        <x:v>陶杯/盾/木柴/陶罐分散</x:v>
      </x:c>
      <x:c r="J6" s="31" t="str">
        <x:v>前景举杯、中景交谈、背景添火/穿行</x:v>
      </x:c>
      <x:c r="K6" s="31" t="str">
        <x:v>每层动作节拍错开；严禁全员举杯挥手</x:v>
      </x:c>
      <x:c r="L6" s="31" t="str">
        <x:v>S03-01、S03-02</x:v>
      </x:c>
      <x:c r="M6" s="31" t="str">
        <x:v>构图层级比人数更重要</x:v>
      </x:c>
      <x:c r="N6" s="31" t="str">
        <x:v>P1</x:v>
      </x:c>
      <x:c r="O6" s="31" t="str">
        <x:v>未开始</x:v>
      </x:c>
    </x:row>
    <x:row r="7" ht="48" customHeight="1">
      <x:c r="A7" s="31" t="str">
        <x:v>G03</x:v>
      </x:c>
      <x:c r="B7" s="31" t="str">
        <x:v>齐地使者与两名随从</x:v>
      </x:c>
      <x:c r="C7" s="31" t="str">
        <x:v>精确三人组，不使用六人模板</x:v>
      </x:c>
      <x:c r="D7" s="31" t="n">
        <x:v>3</x:v>
      </x:c>
      <x:c r="E7" s="31" t="str">
        <x:v>使者居中单人页；两随从各自单人页；最终三人距离图</x:v>
      </x:c>
      <x:c r="F7" s="31" t="str">
        <x:v>每人正面+45°；另做递匣礼仪手势</x:v>
      </x:c>
      <x:c r="G7" s="31" t="str">
        <x:v>使者约40岁；两随从年龄和身形明显不同</x:v>
      </x:c>
      <x:c r="H7" s="31" t="str">
        <x:v>深青灰细织长衣；随从降一级材质</x:v>
      </x:c>
      <x:c r="I7" s="31" t="str">
        <x:v>使者持P10；一随从持竹简；一随从空手</x:v>
      </x:c>
      <x:c r="J7" s="31" t="str">
        <x:v>递呈、持简、静候三个动作</x:v>
      </x:c>
      <x:c r="K7" s="31" t="str">
        <x:v>使者动作唯一；随从只做小幅独立反应</x:v>
      </x:c>
      <x:c r="L7" s="31" t="str">
        <x:v>S04-03、S04-04、S04-06</x:v>
      </x:c>
      <x:c r="M7" s="31" t="str">
        <x:v>禁止生成六个清晰成人；印匣尺度先锁定</x:v>
      </x:c>
      <x:c r="N7" s="31" t="str">
        <x:v>P0</x:v>
      </x:c>
      <x:c r="O7" s="31" t="str">
        <x:v>未开始</x:v>
      </x:c>
    </x:row>
    <x:row r="8" ht="48" customHeight="1">
      <x:c r="A8" s="31" t="str">
        <x:v>G04</x:v>
      </x:c>
      <x:c r="B8" s="31" t="str">
        <x:v>农人/舟工/车夫</x:v>
      </x:c>
      <x:c r="C8" s="31" t="str">
        <x:v>6人职业选角表+手部劳作板</x:v>
      </x:c>
      <x:c r="D8" s="31" t="n">
        <x:v>6</x:v>
      </x:c>
      <x:c r="E8" s="31" t="str">
        <x:v>按职业分三列：农作、舟运、车运</x:v>
      </x:c>
      <x:c r="F8" s="31" t="str">
        <x:v>每人全身正面+工作45°+手部特写</x:v>
      </x:c>
      <x:c r="G8" s="31" t="str">
        <x:v>男女与年龄多样；体态来自真实劳动</x:v>
      </x:c>
      <x:c r="H8" s="31" t="str">
        <x:v>米白、土褐、灰蓝粗织衣物，袖口收束</x:v>
      </x:c>
      <x:c r="I8" s="31" t="str">
        <x:v>农具/粮筐/麻绳/木车各有唯一主人</x:v>
      </x:c>
      <x:c r="J8" s="31" t="str">
        <x:v>清沟、筛谷、接袋、扎绳、推车、搬筐</x:v>
      </x:c>
      <x:c r="K8" s="31" t="str">
        <x:v>所有动作看接触点，不看镜头；重物要有下沉</x:v>
      </x:c>
      <x:c r="L8" s="31" t="str">
        <x:v>S04-01、S04-07、S05-01/03/04/06/08、S06-02/04/05/06</x:v>
      </x:c>
      <x:c r="M8" s="31" t="str">
        <x:v>复用最高，必须先锁身份再做多人接力</x:v>
      </x:c>
      <x:c r="N8" s="31" t="str">
        <x:v>P0</x:v>
      </x:c>
      <x:c r="O8" s="31" t="str">
        <x:v>未开始</x:v>
      </x:c>
    </x:row>
    <x:row r="9" ht="48" customHeight="1">
      <x:c r="A9" s="31" t="str">
        <x:v>G05</x:v>
      </x:c>
      <x:c r="B9" s="31" t="str">
        <x:v>陶地商旅</x:v>
      </x:c>
      <x:c r="C9" s="31" t="str">
        <x:v>6人交易角色表+地域轻差异板</x:v>
      </x:c>
      <x:c r="D9" s="31" t="n">
        <x:v>6</x:v>
      </x:c>
      <x:c r="E9" s="31" t="str">
        <x:v>按货类分格：粮/布/陶/竹木/商队/年长商旅</x:v>
      </x:c>
      <x:c r="F9" s="31" t="str">
        <x:v>每人全身正面+交易45°</x:v>
      </x:c>
      <x:c r="G9" s="31" t="str">
        <x:v>男女、年龄、脸型分散；地域差异克制</x:v>
      </x:c>
      <x:c r="H9" s="31" t="str">
        <x:v>低饱和土黄、灰蓝、暗赭、海盐灰</x:v>
      </x:c>
      <x:c r="I9" s="31" t="str">
        <x:v>货物与度量器按货类分配</x:v>
      </x:c>
      <x:c r="J9" s="31" t="str">
        <x:v>看货、看刻线、检查质地、确认、致意</x:v>
      </x:c>
      <x:c r="K9" s="31" t="str">
        <x:v>不握手、不签纸合同、不夸张讨价还价</x:v>
      </x:c>
      <x:c r="L9" s="31" t="str">
        <x:v>S05-01、S05-08、S05-09、S05-10</x:v>
      </x:c>
      <x:c r="M9" s="31" t="str">
        <x:v>禁止夸张异域装束；信用与度量是表演重点</x:v>
      </x:c>
      <x:c r="N9" s="31" t="str">
        <x:v>P1</x:v>
      </x:c>
      <x:c r="O9" s="31" t="str">
        <x:v>未开始</x:v>
      </x:c>
    </x:row>
    <x:row r="10" ht="48" customHeight="1">
      <x:c r="A10" s="32" t="str">
        <x:v>G06</x:v>
      </x:c>
      <x:c r="B10" s="32" t="str">
        <x:v>后世香客剪影与手</x:v>
      </x:c>
      <x:c r="C10" s="32" t="str">
        <x:v>三组手部+三组不可辨剪影</x:v>
      </x:c>
      <x:c r="D10" s="32" t="n">
        <x:v>6</x:v>
      </x:c>
      <x:c r="E10" s="32" t="str">
        <x:v>上排3个手/供物格；下排3个背光剪影格</x:v>
      </x:c>
      <x:c r="F10" s="32" t="str">
        <x:v>手部俯视/45°；剪影只做侧面或背面</x:v>
      </x:c>
      <x:c r="G10" s="32" t="str">
        <x:v>年龄差通过手部与轮廓表达，不显示清晰脸</x:v>
      </x:c>
      <x:c r="H10" s="32" t="str">
        <x:v>年代刻意模糊；无现代剪裁和品牌</x:v>
      </x:c>
      <x:c r="I10" s="32" t="str">
        <x:v>果品、谷种、素陶供物；无塑料包装</x:v>
      </x:c>
      <x:c r="J10" s="32" t="str">
        <x:v>放置、摆正、短暂停立、离开</x:v>
      </x:c>
      <x:c r="K10" s="32" t="str">
        <x:v>每次只一双手进入；剪影不同时跪拜</x:v>
      </x:c>
      <x:c r="L10" s="32" t="str">
        <x:v>S07-01、S07-02（逻辑继承，逐镜表未显式写G06）</x:v>
      </x:c>
      <x:c r="M10" s="32" t="str">
        <x:v>绝不套用六个清晰古代成人模板</x:v>
      </x:c>
      <x:c r="N10" s="32" t="str">
        <x:v>P0</x:v>
      </x:c>
      <x:c r="O10" s="32" t="str">
        <x:v>未开始</x:v>
      </x:c>
    </x:row>
  </x:sheetData>
  <x:mergeCells>
    <x:mergeCell ref="A1:O1"/>
    <x:mergeCell ref="A2:O2"/>
  </x:mergeCells>
  <x:conditionalFormatting sqref="O5:O10">
    <x:cfRule type="containsText" dxfId="5" priority="1" operator="containsText" text="已通过"/>
    <x:cfRule type="containsText" dxfId="6" priority="2" operator="containsText" text="进行中"/>
    <x:cfRule type="containsText" dxfId="7" priority="3" operator="containsText" text="待导演确认"/>
    <x:cfRule type="containsText" dxfId="8" priority="4" operator="containsText" text="需重做"/>
    <x:cfRule type="containsText" dxfId="9" priority="5" operator="containsText" text="阻塞"/>
  </x:conditionalFormatting>
  <x:dataValidations count="2">
    <x:dataValidation type="list" sqref="O5:O10">
      <x:formula1>"未开始,进行中,待导演确认,未检查,已通过,需重做,阻塞"</x:formula1>
    </x:dataValidation>
    <x:dataValidation type="list" sqref="N5:N1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a956b5e6b144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0" hidden="0" customWidth="1"/>
    <x:col min="4" max="4" width="10" hidden="0" customWidth="1"/>
    <x:col min="5" max="5" width="11" hidden="0" customWidth="1"/>
    <x:col min="6" max="6" width="11" hidden="0" customWidth="1"/>
    <x:col min="7" max="7" width="15" hidden="0" customWidth="1"/>
    <x:col min="8" max="8" width="18" hidden="0" customWidth="1"/>
    <x:col min="9" max="9" width="26" hidden="0" customWidth="1"/>
    <x:col min="10" max="10" width="20" hidden="0" customWidth="1"/>
    <x:col min="11" max="11" width="22" hidden="0" customWidth="1"/>
    <x:col min="12" max="12" width="55" hidden="0" customWidth="1"/>
    <x:col min="13" max="13" width="10" hidden="0" customWidth="1"/>
    <x:col min="14" max="14" width="11" hidden="0" customWidth="1"/>
  </x:cols>
  <x:sheetData>
    <x:row r="1" ht="34" customHeight="1">
      <x:c r="A1" s="3" t="str">
        <x:v>身份指纹与自动去重检查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指纹键由组别、性别、年龄、身高、体态、脸型/可见性、发式、服装、动作与轮廓锚点组合生成。重复计数大于 1 时自动标记“需重做”。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35" t="str">
        <x:v>组别</x:v>
      </x:c>
      <x:c r="B4" s="35" t="str">
        <x:v>槽位ID</x:v>
      </x:c>
      <x:c r="C4" s="35" t="str">
        <x:v>性别</x:v>
      </x:c>
      <x:c r="D4" s="35" t="str">
        <x:v>年龄段</x:v>
      </x:c>
      <x:c r="E4" s="35" t="str">
        <x:v>身高</x:v>
      </x:c>
      <x:c r="F4" s="35" t="str">
        <x:v>体态</x:v>
      </x:c>
      <x:c r="G4" s="35" t="str">
        <x:v>脸型/可见性</x:v>
      </x:c>
      <x:c r="H4" s="35" t="str">
        <x:v>发式/胡须</x:v>
      </x:c>
      <x:c r="I4" s="35" t="str">
        <x:v>服装基线</x:v>
      </x:c>
      <x:c r="J4" s="35" t="str">
        <x:v>主动作</x:v>
      </x:c>
      <x:c r="K4" s="35" t="str">
        <x:v>唯一轮廓锚点</x:v>
      </x:c>
      <x:c r="L4" s="35" t="str">
        <x:v>指纹键</x:v>
      </x:c>
      <x:c r="M4" s="35" t="str">
        <x:v>重复计数</x:v>
      </x:c>
      <x:c r="N4" s="35" t="str">
        <x:v>自动结果</x:v>
      </x:c>
    </x:row>
    <x:row r="5" ht="42" customHeight="1">
      <x:c r="A5" s="30" t="str">
        <x:f>'01_Casting槽位'!A5</x:f>
        <x:v>G01</x:v>
      </x:c>
      <x:c r="B5" s="30" t="str">
        <x:f>'01_Casting槽位'!B5</x:f>
        <x:v>G01-01</x:v>
      </x:c>
      <x:c r="C5" s="30" t="str">
        <x:f>'01_Casting槽位'!E5</x:f>
        <x:v>男</x:v>
      </x:c>
      <x:c r="D5" s="30" t="str">
        <x:f>'01_Casting槽位'!F5</x:f>
        <x:v>20–24</x:v>
      </x:c>
      <x:c r="E5" s="30" t="str">
        <x:f>'01_Casting槽位'!G5</x:f>
        <x:v>中等偏高</x:v>
      </x:c>
      <x:c r="F5" s="30" t="str">
        <x:f>'01_Casting槽位'!H5</x:f>
        <x:v>清瘦</x:v>
      </x:c>
      <x:c r="G5" s="30" t="str">
        <x:f>'01_Casting槽位'!I5</x:f>
        <x:v>长椭圆</x:v>
      </x:c>
      <x:c r="H5" s="30" t="str">
        <x:f>'01_Casting槽位'!J5</x:f>
        <x:v>高束髻、无须</x:v>
      </x:c>
      <x:c r="I5" s="30" t="str">
        <x:f>'01_Casting槽位'!K5</x:f>
        <x:v>暗灰麻衣+轻漆革护肩</x:v>
      </x:c>
      <x:c r="J5" s="30" t="str">
        <x:f>'01_Casting槽位'!L5</x:f>
        <x:v>扶盾观察雨幕</x:v>
      </x:c>
      <x:c r="K5" s="30" t="str">
        <x:f>'01_Casting槽位'!O5</x:f>
        <x:v>细长颈肩+窄盾</x:v>
      </x:c>
      <x:c r="L5" s="30" t="str">
        <x:f>A5&amp;"|"&amp;C5&amp;"|"&amp;D5&amp;"|"&amp;E5&amp;"|"&amp;F5&amp;"|"&amp;G5&amp;"|"&amp;H5&amp;"|"&amp;I5&amp;"|"&amp;J5&amp;"|"&amp;K5</x:f>
        <x:v>G01|男|20–24|中等偏高|清瘦|长椭圆|高束髻、无须|暗灰麻衣+轻漆革护肩|扶盾观察雨幕|细长颈肩+窄盾</x:v>
      </x:c>
      <x:c r="M5" s="30" t="n">
        <x:f>COUNTIF($L$5:$L$37,L5)</x:f>
        <x:v>1</x:v>
      </x:c>
      <x:c r="N5" s="30" t="str">
        <x:f>IF(M5=1,"通过","需重做")</x:f>
        <x:v>通过</x:v>
      </x:c>
    </x:row>
    <x:row r="6" ht="42" customHeight="1">
      <x:c r="A6" s="31" t="str">
        <x:f>'01_Casting槽位'!A6</x:f>
        <x:v>G01</x:v>
      </x:c>
      <x:c r="B6" s="31" t="str">
        <x:f>'01_Casting槽位'!B6</x:f>
        <x:v>G01-02</x:v>
      </x:c>
      <x:c r="C6" s="31" t="str">
        <x:f>'01_Casting槽位'!E6</x:f>
        <x:v>男</x:v>
      </x:c>
      <x:c r="D6" s="31" t="str">
        <x:f>'01_Casting槽位'!F6</x:f>
        <x:v>25–30</x:v>
      </x:c>
      <x:c r="E6" s="31" t="str">
        <x:f>'01_Casting槽位'!G6</x:f>
        <x:v>高</x:v>
      </x:c>
      <x:c r="F6" s="31" t="str">
        <x:f>'01_Casting槽位'!H6</x:f>
        <x:v>宽肩</x:v>
      </x:c>
      <x:c r="G6" s="31" t="str">
        <x:f>'01_Casting槽位'!I6</x:f>
        <x:v>方脸</x:v>
      </x:c>
      <x:c r="H6" s="31" t="str">
        <x:f>'01_Casting槽位'!J6</x:f>
        <x:v>低髻、短须</x:v>
      </x:c>
      <x:c r="I6" s="31" t="str">
        <x:f>'01_Casting槽位'!K6</x:f>
        <x:v>黑褐麻衣+皮革腰护</x:v>
      </x:c>
      <x:c r="J6" s="31" t="str">
        <x:f>'01_Casting槽位'!L6</x:f>
        <x:v>握青铜剑柄一次</x:v>
      </x:c>
      <x:c r="K6" s="31" t="str">
        <x:f>'01_Casting槽位'!O6</x:f>
        <x:v>宽肩+方颌</x:v>
      </x:c>
      <x:c r="L6" s="31" t="str">
        <x:f>A6&amp;"|"&amp;C6&amp;"|"&amp;D6&amp;"|"&amp;E6&amp;"|"&amp;F6&amp;"|"&amp;G6&amp;"|"&amp;H6&amp;"|"&amp;I6&amp;"|"&amp;J6&amp;"|"&amp;K6</x:f>
        <x:v>G01|男|25–30|高|宽肩|方脸|低髻、短须|黑褐麻衣+皮革腰护|握青铜剑柄一次|宽肩+方颌</x:v>
      </x:c>
      <x:c r="M6" s="31" t="n">
        <x:f>COUNTIF($L$5:$L$37,L6)</x:f>
        <x:v>1</x:v>
      </x:c>
      <x:c r="N6" s="31" t="str">
        <x:f>IF(M6=1,"通过","需重做")</x:f>
        <x:v>通过</x:v>
      </x:c>
    </x:row>
    <x:row r="7" ht="42" customHeight="1">
      <x:c r="A7" s="31" t="str">
        <x:f>'01_Casting槽位'!A7</x:f>
        <x:v>G01</x:v>
      </x:c>
      <x:c r="B7" s="31" t="str">
        <x:f>'01_Casting槽位'!B7</x:f>
        <x:v>G01-03</x:v>
      </x:c>
      <x:c r="C7" s="31" t="str">
        <x:f>'01_Casting槽位'!E7</x:f>
        <x:v>男</x:v>
      </x:c>
      <x:c r="D7" s="31" t="str">
        <x:f>'01_Casting槽位'!F7</x:f>
        <x:v>31–36</x:v>
      </x:c>
      <x:c r="E7" s="31" t="str">
        <x:f>'01_Casting槽位'!G7</x:f>
        <x:v>偏矮</x:v>
      </x:c>
      <x:c r="F7" s="31" t="str">
        <x:f>'01_Casting槽位'!H7</x:f>
        <x:v>结实</x:v>
      </x:c>
      <x:c r="G7" s="31" t="str">
        <x:f>'01_Casting槽位'!I7</x:f>
        <x:v>圆脸</x:v>
      </x:c>
      <x:c r="H7" s="31" t="str">
        <x:f>'01_Casting槽位'!J7</x:f>
        <x:v>紧髻、八字短须</x:v>
      </x:c>
      <x:c r="I7" s="31" t="str">
        <x:f>'01_Casting槽位'!K7</x:f>
        <x:v>苔灰麻衣+竹片护臂</x:v>
      </x:c>
      <x:c r="J7" s="31" t="str">
        <x:f>'01_Casting槽位'!L7</x:f>
        <x:v>靠柱静候</x:v>
      </x:c>
      <x:c r="K7" s="31" t="str">
        <x:f>'01_Casting槽位'!O7</x:f>
        <x:v>低重心+圆脸</x:v>
      </x:c>
      <x:c r="L7" s="31" t="str">
        <x:f>A7&amp;"|"&amp;C7&amp;"|"&amp;D7&amp;"|"&amp;E7&amp;"|"&amp;F7&amp;"|"&amp;G7&amp;"|"&amp;H7&amp;"|"&amp;I7&amp;"|"&amp;J7&amp;"|"&amp;K7</x:f>
        <x:v>G01|男|31–36|偏矮|结实|圆脸|紧髻、八字短须|苔灰麻衣+竹片护臂|靠柱静候|低重心+圆脸</x:v>
      </x:c>
      <x:c r="M7" s="31" t="n">
        <x:f>COUNTIF($L$5:$L$37,L7)</x:f>
        <x:v>1</x:v>
      </x:c>
      <x:c r="N7" s="31" t="str">
        <x:f>IF(M7=1,"通过","需重做")</x:f>
        <x:v>通过</x:v>
      </x:c>
    </x:row>
    <x:row r="8" ht="42" customHeight="1">
      <x:c r="A8" s="31" t="str">
        <x:f>'01_Casting槽位'!A8</x:f>
        <x:v>G01</x:v>
      </x:c>
      <x:c r="B8" s="31" t="str">
        <x:f>'01_Casting槽位'!B8</x:f>
        <x:v>G01-04</x:v>
      </x:c>
      <x:c r="C8" s="31" t="str">
        <x:f>'01_Casting槽位'!E8</x:f>
        <x:v>男</x:v>
      </x:c>
      <x:c r="D8" s="31" t="str">
        <x:f>'01_Casting槽位'!F8</x:f>
        <x:v>37–41</x:v>
      </x:c>
      <x:c r="E8" s="31" t="str">
        <x:f>'01_Casting槽位'!G8</x:f>
        <x:v>高</x:v>
      </x:c>
      <x:c r="F8" s="31" t="str">
        <x:f>'01_Casting槽位'!H8</x:f>
        <x:v>瘦长</x:v>
      </x:c>
      <x:c r="G8" s="31" t="str">
        <x:f>'01_Casting槽位'!I8</x:f>
        <x:v>窄长脸</x:v>
      </x:c>
      <x:c r="H8" s="31" t="str">
        <x:f>'01_Casting槽位'!J8</x:f>
        <x:v>高髻、下颌短须</x:v>
      </x:c>
      <x:c r="I8" s="31" t="str">
        <x:f>'01_Casting槽位'!K8</x:f>
        <x:v>深灰绿长衣+漆革胸片</x:v>
      </x:c>
      <x:c r="J8" s="31" t="str">
        <x:f>'01_Casting槽位'!L8</x:f>
        <x:v>持戈不摆拍</x:v>
      </x:c>
      <x:c r="K8" s="31" t="str">
        <x:f>'01_Casting槽位'!O8</x:f>
        <x:v>长臂+窄长脸</x:v>
      </x:c>
      <x:c r="L8" s="31" t="str">
        <x:f>A8&amp;"|"&amp;C8&amp;"|"&amp;D8&amp;"|"&amp;E8&amp;"|"&amp;F8&amp;"|"&amp;G8&amp;"|"&amp;H8&amp;"|"&amp;I8&amp;"|"&amp;J8&amp;"|"&amp;K8</x:f>
        <x:v>G01|男|37–41|高|瘦长|窄长脸|高髻、下颌短须|深灰绿长衣+漆革胸片|持戈不摆拍|长臂+窄长脸</x:v>
      </x:c>
      <x:c r="M8" s="31" t="n">
        <x:f>COUNTIF($L$5:$L$37,L8)</x:f>
        <x:v>1</x:v>
      </x:c>
      <x:c r="N8" s="31" t="str">
        <x:f>IF(M8=1,"通过","需重做")</x:f>
        <x:v>通过</x:v>
      </x:c>
    </x:row>
    <x:row r="9" ht="42" customHeight="1">
      <x:c r="A9" s="31" t="str">
        <x:f>'01_Casting槽位'!A9</x:f>
        <x:v>G01</x:v>
      </x:c>
      <x:c r="B9" s="31" t="str">
        <x:f>'01_Casting槽位'!B9</x:f>
        <x:v>G01-05</x:v>
      </x:c>
      <x:c r="C9" s="31" t="str">
        <x:f>'01_Casting槽位'!E9</x:f>
        <x:v>男</x:v>
      </x:c>
      <x:c r="D9" s="31" t="str">
        <x:f>'01_Casting槽位'!F9</x:f>
        <x:v>42–45</x:v>
      </x:c>
      <x:c r="E9" s="31" t="str">
        <x:f>'01_Casting槽位'!G9</x:f>
        <x:v>中等</x:v>
      </x:c>
      <x:c r="F9" s="31" t="str">
        <x:f>'01_Casting槽位'!H9</x:f>
        <x:v>敦实</x:v>
      </x:c>
      <x:c r="G9" s="31" t="str">
        <x:f>'01_Casting槽位'!I9</x:f>
        <x:v>宽脸</x:v>
      </x:c>
      <x:c r="H9" s="31" t="str">
        <x:f>'01_Casting槽位'!J9</x:f>
        <x:v>低髻、鬓灰、短须</x:v>
      </x:c>
      <x:c r="I9" s="31" t="str">
        <x:f>'01_Casting槽位'!K9</x:f>
        <x:v>暗褐麻衣+旧漆革</x:v>
      </x:c>
      <x:c r="J9" s="31" t="str">
        <x:f>'01_Casting槽位'!L9</x:f>
        <x:v>雨中换重心</x:v>
      </x:c>
      <x:c r="K9" s="31" t="str">
        <x:f>'01_Casting槽位'!O9</x:f>
        <x:v>短颈+宽盾</x:v>
      </x:c>
      <x:c r="L9" s="31" t="str">
        <x:f>A9&amp;"|"&amp;C9&amp;"|"&amp;D9&amp;"|"&amp;E9&amp;"|"&amp;F9&amp;"|"&amp;G9&amp;"|"&amp;H9&amp;"|"&amp;I9&amp;"|"&amp;J9&amp;"|"&amp;K9</x:f>
        <x:v>G01|男|42–45|中等|敦实|宽脸|低髻、鬓灰、短须|暗褐麻衣+旧漆革|雨中换重心|短颈+宽盾</x:v>
      </x:c>
      <x:c r="M9" s="31" t="n">
        <x:f>COUNTIF($L$5:$L$37,L9)</x:f>
        <x:v>1</x:v>
      </x:c>
      <x:c r="N9" s="31" t="str">
        <x:f>IF(M9=1,"通过","需重做")</x:f>
        <x:v>通过</x:v>
      </x:c>
    </x:row>
    <x:row r="10" ht="42" customHeight="1">
      <x:c r="A10" s="31" t="str">
        <x:f>'01_Casting槽位'!A10</x:f>
        <x:v>G01</x:v>
      </x:c>
      <x:c r="B10" s="31" t="str">
        <x:f>'01_Casting槽位'!B10</x:f>
        <x:v>G01-06</x:v>
      </x:c>
      <x:c r="C10" s="31" t="str">
        <x:f>'01_Casting槽位'!E10</x:f>
        <x:v>男</x:v>
      </x:c>
      <x:c r="D10" s="31" t="str">
        <x:f>'01_Casting槽位'!F10</x:f>
        <x:v>23–28</x:v>
      </x:c>
      <x:c r="E10" s="31" t="str">
        <x:f>'01_Casting槽位'!G10</x:f>
        <x:v>中等</x:v>
      </x:c>
      <x:c r="F10" s="31" t="str">
        <x:f>'01_Casting槽位'!H10</x:f>
        <x:v>精瘦</x:v>
      </x:c>
      <x:c r="G10" s="31" t="str">
        <x:f>'01_Casting槽位'!I10</x:f>
        <x:v>菱形脸</x:v>
      </x:c>
      <x:c r="H10" s="31" t="str">
        <x:f>'01_Casting槽位'!J10</x:f>
        <x:v>简髻、无须</x:v>
      </x:c>
      <x:c r="I10" s="31" t="str">
        <x:f>'01_Casting槽位'!K10</x:f>
        <x:v>烟灰短衣+深褐腰带</x:v>
      </x:c>
      <x:c r="J10" s="31" t="str">
        <x:f>'01_Casting槽位'!L10</x:f>
        <x:v>搬动湿装备</x:v>
      </x:c>
      <x:c r="K10" s="31" t="str">
        <x:f>'01_Casting槽位'!O10</x:f>
        <x:v>尖颧+轻装备</x:v>
      </x:c>
      <x:c r="L10" s="31" t="str">
        <x:f>A10&amp;"|"&amp;C10&amp;"|"&amp;D10&amp;"|"&amp;E10&amp;"|"&amp;F10&amp;"|"&amp;G10&amp;"|"&amp;H10&amp;"|"&amp;I10&amp;"|"&amp;J10&amp;"|"&amp;K10</x:f>
        <x:v>G01|男|23–28|中等|精瘦|菱形脸|简髻、无须|烟灰短衣+深褐腰带|搬动湿装备|尖颧+轻装备</x:v>
      </x:c>
      <x:c r="M10" s="31" t="n">
        <x:f>COUNTIF($L$5:$L$37,L10)</x:f>
        <x:v>1</x:v>
      </x:c>
      <x:c r="N10" s="31" t="str">
        <x:f>IF(M10=1,"通过","需重做")</x:f>
        <x:v>通过</x:v>
      </x:c>
    </x:row>
    <x:row r="11" ht="42" customHeight="1">
      <x:c r="A11" s="31" t="str">
        <x:f>'01_Casting槽位'!A11</x:f>
        <x:v>G02</x:v>
      </x:c>
      <x:c r="B11" s="31" t="str">
        <x:f>'01_Casting槽位'!B11</x:f>
        <x:v>G02-01</x:v>
      </x:c>
      <x:c r="C11" s="31" t="str">
        <x:f>'01_Casting槽位'!E11</x:f>
        <x:v>男</x:v>
      </x:c>
      <x:c r="D11" s="31" t="str">
        <x:f>'01_Casting槽位'!F11</x:f>
        <x:v>46–55</x:v>
      </x:c>
      <x:c r="E11" s="31" t="str">
        <x:f>'01_Casting槽位'!G11</x:f>
        <x:v>高</x:v>
      </x:c>
      <x:c r="F11" s="31" t="str">
        <x:f>'01_Casting槽位'!H11</x:f>
        <x:v>修长</x:v>
      </x:c>
      <x:c r="G11" s="31" t="str">
        <x:f>'01_Casting槽位'!I11</x:f>
        <x:v>长脸</x:v>
      </x:c>
      <x:c r="H11" s="31" t="str">
        <x:f>'01_Casting槽位'!J11</x:f>
        <x:v>低髻、整齐短须</x:v>
      </x:c>
      <x:c r="I11" s="31" t="str">
        <x:f>'01_Casting槽位'!K11</x:f>
        <x:v>黑褐细织衣+暗朱内缘</x:v>
      </x:c>
      <x:c r="J11" s="31" t="str">
        <x:f>'01_Casting槽位'!L11</x:f>
        <x:v>举陶杯后停住</x:v>
      </x:c>
      <x:c r="K11" s="31" t="str">
        <x:f>'01_Casting槽位'!O11</x:f>
        <x:v>修长轮廓+暗朱领</x:v>
      </x:c>
      <x:c r="L11" s="31" t="str">
        <x:f>A11&amp;"|"&amp;C11&amp;"|"&amp;D11&amp;"|"&amp;E11&amp;"|"&amp;F11&amp;"|"&amp;G11&amp;"|"&amp;H11&amp;"|"&amp;I11&amp;"|"&amp;J11&amp;"|"&amp;K11</x:f>
        <x:v>G02|男|46–55|高|修长|长脸|低髻、整齐短须|黑褐细织衣+暗朱内缘|举陶杯后停住|修长轮廓+暗朱领</x:v>
      </x:c>
      <x:c r="M11" s="31" t="n">
        <x:f>COUNTIF($L$5:$L$37,L11)</x:f>
        <x:v>1</x:v>
      </x:c>
      <x:c r="N11" s="31" t="str">
        <x:f>IF(M11=1,"通过","需重做")</x:f>
        <x:v>通过</x:v>
      </x:c>
    </x:row>
    <x:row r="12" ht="42" customHeight="1">
      <x:c r="A12" s="31" t="str">
        <x:f>'01_Casting槽位'!A12</x:f>
        <x:v>G02</x:v>
      </x:c>
      <x:c r="B12" s="31" t="str">
        <x:f>'01_Casting槽位'!B12</x:f>
        <x:v>G02-02</x:v>
      </x:c>
      <x:c r="C12" s="31" t="str">
        <x:f>'01_Casting槽位'!E12</x:f>
        <x:v>男</x:v>
      </x:c>
      <x:c r="D12" s="31" t="str">
        <x:f>'01_Casting槽位'!F12</x:f>
        <x:v>28–35</x:v>
      </x:c>
      <x:c r="E12" s="31" t="str">
        <x:f>'01_Casting槽位'!G12</x:f>
        <x:v>中等</x:v>
      </x:c>
      <x:c r="F12" s="31" t="str">
        <x:f>'01_Casting槽位'!H12</x:f>
        <x:v>匀称</x:v>
      </x:c>
      <x:c r="G12" s="31" t="str">
        <x:f>'01_Casting槽位'!I12</x:f>
        <x:v>椭圆脸</x:v>
      </x:c>
      <x:c r="H12" s="31" t="str">
        <x:f>'01_Casting槽位'!J12</x:f>
        <x:v>窄冠或整髻、无须</x:v>
      </x:c>
      <x:c r="I12" s="31" t="str">
        <x:f>'01_Casting槽位'!K12</x:f>
        <x:v>深灰细织长衣</x:v>
      </x:c>
      <x:c r="J12" s="31" t="str">
        <x:f>'01_Casting槽位'!L12</x:f>
        <x:v>侧身交谈</x:v>
      </x:c>
      <x:c r="K12" s="31" t="str">
        <x:f>'01_Casting槽位'!O12</x:f>
        <x:v>窄肩+深灰长衣</x:v>
      </x:c>
      <x:c r="L12" s="31" t="str">
        <x:f>A12&amp;"|"&amp;C12&amp;"|"&amp;D12&amp;"|"&amp;E12&amp;"|"&amp;F12&amp;"|"&amp;G12&amp;"|"&amp;H12&amp;"|"&amp;I12&amp;"|"&amp;J12&amp;"|"&amp;K12</x:f>
        <x:v>G02|男|28–35|中等|匀称|椭圆脸|窄冠或整髻、无须|深灰细织长衣|侧身交谈|窄肩+深灰长衣</x:v>
      </x:c>
      <x:c r="M12" s="31" t="n">
        <x:f>COUNTIF($L$5:$L$37,L12)</x:f>
        <x:v>1</x:v>
      </x:c>
      <x:c r="N12" s="31" t="str">
        <x:f>IF(M12=1,"通过","需重做")</x:f>
        <x:v>通过</x:v>
      </x:c>
    </x:row>
    <x:row r="13" ht="42" customHeight="1">
      <x:c r="A13" s="31" t="str">
        <x:f>'01_Casting槽位'!A13</x:f>
        <x:v>G02</x:v>
      </x:c>
      <x:c r="B13" s="31" t="str">
        <x:f>'01_Casting槽位'!B13</x:f>
        <x:v>G02-03</x:v>
      </x:c>
      <x:c r="C13" s="31" t="str">
        <x:f>'01_Casting槽位'!E13</x:f>
        <x:v>男</x:v>
      </x:c>
      <x:c r="D13" s="31" t="str">
        <x:f>'01_Casting槽位'!F13</x:f>
        <x:v>24–30</x:v>
      </x:c>
      <x:c r="E13" s="31" t="str">
        <x:f>'01_Casting槽位'!G13</x:f>
        <x:v>高</x:v>
      </x:c>
      <x:c r="F13" s="31" t="str">
        <x:f>'01_Casting槽位'!H13</x:f>
        <x:v>宽肩</x:v>
      </x:c>
      <x:c r="G13" s="31" t="str">
        <x:f>'01_Casting槽位'!I13</x:f>
        <x:v>方脸</x:v>
      </x:c>
      <x:c r="H13" s="31" t="str">
        <x:f>'01_Casting槽位'!J13</x:f>
        <x:v>高髻、淡须</x:v>
      </x:c>
      <x:c r="I13" s="31" t="str">
        <x:f>'01_Casting槽位'!K13</x:f>
        <x:v>暗灰军衣+旧护臂</x:v>
      </x:c>
      <x:c r="J13" s="31" t="str">
        <x:f>'01_Casting槽位'!L13</x:f>
        <x:v>放下盾牌呼气</x:v>
      </x:c>
      <x:c r="K13" s="31" t="str">
        <x:f>'01_Casting槽位'!O13</x:f>
        <x:v>宽肩+盾轮廓</x:v>
      </x:c>
      <x:c r="L13" s="31" t="str">
        <x:f>A13&amp;"|"&amp;C13&amp;"|"&amp;D13&amp;"|"&amp;E13&amp;"|"&amp;F13&amp;"|"&amp;G13&amp;"|"&amp;H13&amp;"|"&amp;I13&amp;"|"&amp;J13&amp;"|"&amp;K13</x:f>
        <x:v>G02|男|24–30|高|宽肩|方脸|高髻、淡须|暗灰军衣+旧护臂|放下盾牌呼气|宽肩+盾轮廓</x:v>
      </x:c>
      <x:c r="M13" s="31" t="n">
        <x:f>COUNTIF($L$5:$L$37,L13)</x:f>
        <x:v>1</x:v>
      </x:c>
      <x:c r="N13" s="31" t="str">
        <x:f>IF(M13=1,"通过","需重做")</x:f>
        <x:v>通过</x:v>
      </x:c>
    </x:row>
    <x:row r="14" ht="42" customHeight="1">
      <x:c r="A14" s="31" t="str">
        <x:f>'01_Casting槽位'!A14</x:f>
        <x:v>G02</x:v>
      </x:c>
      <x:c r="B14" s="31" t="str">
        <x:f>'01_Casting槽位'!B14</x:f>
        <x:v>G02-04</x:v>
      </x:c>
      <x:c r="C14" s="31" t="str">
        <x:f>'01_Casting槽位'!E14</x:f>
        <x:v>男</x:v>
      </x:c>
      <x:c r="D14" s="31" t="str">
        <x:f>'01_Casting槽位'!F14</x:f>
        <x:v>40–48</x:v>
      </x:c>
      <x:c r="E14" s="31" t="str">
        <x:f>'01_Casting槽位'!G14</x:f>
        <x:v>偏矮</x:v>
      </x:c>
      <x:c r="F14" s="31" t="str">
        <x:f>'01_Casting槽位'!H14</x:f>
        <x:v>敦实</x:v>
      </x:c>
      <x:c r="G14" s="31" t="str">
        <x:f>'01_Casting槽位'!I14</x:f>
        <x:v>宽圆脸</x:v>
      </x:c>
      <x:c r="H14" s="31" t="str">
        <x:f>'01_Casting槽位'!J14</x:f>
        <x:v>低髻、鬓灰短须</x:v>
      </x:c>
      <x:c r="I14" s="31" t="str">
        <x:f>'01_Casting槽位'!K14</x:f>
        <x:v>黑褐军衣</x:v>
      </x:c>
      <x:c r="J14" s="31" t="str">
        <x:f>'01_Casting槽位'!L14</x:f>
        <x:v>与一人低声交谈</x:v>
      </x:c>
      <x:c r="K14" s="31" t="str">
        <x:f>'01_Casting槽位'!O14</x:f>
        <x:v>敦实+宽圆脸</x:v>
      </x:c>
      <x:c r="L14" s="31" t="str">
        <x:f>A14&amp;"|"&amp;C14&amp;"|"&amp;D14&amp;"|"&amp;E14&amp;"|"&amp;F14&amp;"|"&amp;G14&amp;"|"&amp;H14&amp;"|"&amp;I14&amp;"|"&amp;J14&amp;"|"&amp;K14</x:f>
        <x:v>G02|男|40–48|偏矮|敦实|宽圆脸|低髻、鬓灰短须|黑褐军衣|与一人低声交谈|敦实+宽圆脸</x:v>
      </x:c>
      <x:c r="M14" s="31" t="n">
        <x:f>COUNTIF($L$5:$L$37,L14)</x:f>
        <x:v>1</x:v>
      </x:c>
      <x:c r="N14" s="31" t="str">
        <x:f>IF(M14=1,"通过","需重做")</x:f>
        <x:v>通过</x:v>
      </x:c>
    </x:row>
    <x:row r="15" ht="42" customHeight="1">
      <x:c r="A15" s="31" t="str">
        <x:f>'01_Casting槽位'!A15</x:f>
        <x:v>G02</x:v>
      </x:c>
      <x:c r="B15" s="31" t="str">
        <x:f>'01_Casting槽位'!B15</x:f>
        <x:v>G02-05</x:v>
      </x:c>
      <x:c r="C15" s="31" t="str">
        <x:f>'01_Casting槽位'!E15</x:f>
        <x:v>女</x:v>
      </x:c>
      <x:c r="D15" s="31" t="str">
        <x:f>'01_Casting槽位'!F15</x:f>
        <x:v>34–42</x:v>
      </x:c>
      <x:c r="E15" s="31" t="str">
        <x:f>'01_Casting槽位'!G15</x:f>
        <x:v>中等</x:v>
      </x:c>
      <x:c r="F15" s="31" t="str">
        <x:f>'01_Casting槽位'!H15</x:f>
        <x:v>结实</x:v>
      </x:c>
      <x:c r="G15" s="31" t="str">
        <x:f>'01_Casting槽位'!I15</x:f>
        <x:v>圆脸</x:v>
      </x:c>
      <x:c r="H15" s="31" t="str">
        <x:f>'01_Casting槽位'!J15</x:f>
        <x:v>盘束发、无首饰</x:v>
      </x:c>
      <x:c r="I15" s="31" t="str">
        <x:f>'01_Casting槽位'!K15</x:f>
        <x:v>米白粗织衣+暗朱腰带</x:v>
      </x:c>
      <x:c r="J15" s="31" t="str">
        <x:f>'01_Casting槽位'!L15</x:f>
        <x:v>向火盆添木</x:v>
      </x:c>
      <x:c r="K15" s="31" t="str">
        <x:f>'01_Casting槽位'!O15</x:f>
        <x:v>束袖+短上衣</x:v>
      </x:c>
      <x:c r="L15" s="31" t="str">
        <x:f>A15&amp;"|"&amp;C15&amp;"|"&amp;D15&amp;"|"&amp;E15&amp;"|"&amp;F15&amp;"|"&amp;G15&amp;"|"&amp;H15&amp;"|"&amp;I15&amp;"|"&amp;J15&amp;"|"&amp;K15</x:f>
        <x:v>G02|女|34–42|中等|结实|圆脸|盘束发、无首饰|米白粗织衣+暗朱腰带|向火盆添木|束袖+短上衣</x:v>
      </x:c>
      <x:c r="M15" s="31" t="n">
        <x:f>COUNTIF($L$5:$L$37,L15)</x:f>
        <x:v>1</x:v>
      </x:c>
      <x:c r="N15" s="31" t="str">
        <x:f>IF(M15=1,"通过","需重做")</x:f>
        <x:v>通过</x:v>
      </x:c>
    </x:row>
    <x:row r="16" ht="42" customHeight="1">
      <x:c r="A16" s="31" t="str">
        <x:f>'01_Casting槽位'!A16</x:f>
        <x:v>G02</x:v>
      </x:c>
      <x:c r="B16" s="31" t="str">
        <x:f>'01_Casting槽位'!B16</x:f>
        <x:v>G02-06</x:v>
      </x:c>
      <x:c r="C16" s="31" t="str">
        <x:f>'01_Casting槽位'!E16</x:f>
        <x:v>男</x:v>
      </x:c>
      <x:c r="D16" s="31" t="str">
        <x:f>'01_Casting槽位'!F16</x:f>
        <x:v>52–60</x:v>
      </x:c>
      <x:c r="E16" s="31" t="str">
        <x:f>'01_Casting槽位'!G16</x:f>
        <x:v>中等偏矮</x:v>
      </x:c>
      <x:c r="F16" s="31" t="str">
        <x:f>'01_Casting槽位'!H16</x:f>
        <x:v>瘦韧</x:v>
      </x:c>
      <x:c r="G16" s="31" t="str">
        <x:f>'01_Casting槽位'!I16</x:f>
        <x:v>矩形脸</x:v>
      </x:c>
      <x:c r="H16" s="31" t="str">
        <x:f>'01_Casting槽位'!J16</x:f>
        <x:v>低髻、灰须</x:v>
      </x:c>
      <x:c r="I16" s="31" t="str">
        <x:f>'01_Casting槽位'!K16</x:f>
        <x:v>土褐粗织衣</x:v>
      </x:c>
      <x:c r="J16" s="31" t="str">
        <x:f>'01_Casting槽位'!L16</x:f>
        <x:v>端陶器穿过背景</x:v>
      </x:c>
      <x:c r="K16" s="31" t="str">
        <x:f>'01_Casting槽位'!O16</x:f>
        <x:v>灰须+陶罐轮廓</x:v>
      </x:c>
      <x:c r="L16" s="31" t="str">
        <x:f>A16&amp;"|"&amp;C16&amp;"|"&amp;D16&amp;"|"&amp;E16&amp;"|"&amp;F16&amp;"|"&amp;G16&amp;"|"&amp;H16&amp;"|"&amp;I16&amp;"|"&amp;J16&amp;"|"&amp;K16</x:f>
        <x:v>G02|男|52–60|中等偏矮|瘦韧|矩形脸|低髻、灰须|土褐粗织衣|端陶器穿过背景|灰须+陶罐轮廓</x:v>
      </x:c>
      <x:c r="M16" s="31" t="n">
        <x:f>COUNTIF($L$5:$L$37,L16)</x:f>
        <x:v>1</x:v>
      </x:c>
      <x:c r="N16" s="31" t="str">
        <x:f>IF(M16=1,"通过","需重做")</x:f>
        <x:v>通过</x:v>
      </x:c>
    </x:row>
    <x:row r="17" ht="42" customHeight="1">
      <x:c r="A17" s="31" t="str">
        <x:f>'01_Casting槽位'!A17</x:f>
        <x:v>G03</x:v>
      </x:c>
      <x:c r="B17" s="31" t="str">
        <x:f>'01_Casting槽位'!B17</x:f>
        <x:v>G03-01</x:v>
      </x:c>
      <x:c r="C17" s="31" t="str">
        <x:f>'01_Casting槽位'!E17</x:f>
        <x:v>男</x:v>
      </x:c>
      <x:c r="D17" s="31" t="str">
        <x:f>'01_Casting槽位'!F17</x:f>
        <x:v>38–44</x:v>
      </x:c>
      <x:c r="E17" s="31" t="str">
        <x:f>'01_Casting槽位'!G17</x:f>
        <x:v>中等偏高</x:v>
      </x:c>
      <x:c r="F17" s="31" t="str">
        <x:f>'01_Casting槽位'!H17</x:f>
        <x:v>清瘦</x:v>
      </x:c>
      <x:c r="G17" s="31" t="str">
        <x:f>'01_Casting槽位'!I17</x:f>
        <x:v>长椭圆</x:v>
      </x:c>
      <x:c r="H17" s="31" t="str">
        <x:f>'01_Casting槽位'!J17</x:f>
        <x:v>窄冠或整齐低髻、短须</x:v>
      </x:c>
      <x:c r="I17" s="31" t="str">
        <x:f>'01_Casting槽位'!K17</x:f>
        <x:v>深青灰细织长衣</x:v>
      </x:c>
      <x:c r="J17" s="31" t="str">
        <x:f>'01_Casting槽位'!L17</x:f>
        <x:v>双手递呈漆匣</x:v>
      </x:c>
      <x:c r="K17" s="31" t="str">
        <x:f>'01_Casting槽位'!O17</x:f>
        <x:v>深青灰长线条</x:v>
      </x:c>
      <x:c r="L17" s="31" t="str">
        <x:f>A17&amp;"|"&amp;C17&amp;"|"&amp;D17&amp;"|"&amp;E17&amp;"|"&amp;F17&amp;"|"&amp;G17&amp;"|"&amp;H17&amp;"|"&amp;I17&amp;"|"&amp;J17&amp;"|"&amp;K17</x:f>
        <x:v>G03|男|38–44|中等偏高|清瘦|长椭圆|窄冠或整齐低髻、短须|深青灰细织长衣|双手递呈漆匣|深青灰长线条</x:v>
      </x:c>
      <x:c r="M17" s="31" t="n">
        <x:f>COUNTIF($L$5:$L$37,L17)</x:f>
        <x:v>1</x:v>
      </x:c>
      <x:c r="N17" s="31" t="str">
        <x:f>IF(M17=1,"通过","需重做")</x:f>
        <x:v>通过</x:v>
      </x:c>
    </x:row>
    <x:row r="18" ht="42" customHeight="1">
      <x:c r="A18" s="31" t="str">
        <x:f>'01_Casting槽位'!A18</x:f>
        <x:v>G03</x:v>
      </x:c>
      <x:c r="B18" s="31" t="str">
        <x:f>'01_Casting槽位'!B18</x:f>
        <x:v>G03-02</x:v>
      </x:c>
      <x:c r="C18" s="31" t="str">
        <x:f>'01_Casting槽位'!E18</x:f>
        <x:v>男</x:v>
      </x:c>
      <x:c r="D18" s="31" t="str">
        <x:f>'01_Casting槽位'!F18</x:f>
        <x:v>26–32</x:v>
      </x:c>
      <x:c r="E18" s="31" t="str">
        <x:f>'01_Casting槽位'!G18</x:f>
        <x:v>偏矮</x:v>
      </x:c>
      <x:c r="F18" s="31" t="str">
        <x:f>'01_Casting槽位'!H18</x:f>
        <x:v>紧实</x:v>
      </x:c>
      <x:c r="G18" s="31" t="str">
        <x:f>'01_Casting槽位'!I18</x:f>
        <x:v>方脸</x:v>
      </x:c>
      <x:c r="H18" s="31" t="str">
        <x:f>'01_Casting槽位'!J18</x:f>
        <x:v>整髻、无须</x:v>
      </x:c>
      <x:c r="I18" s="31" t="str">
        <x:f>'01_Casting槽位'!K18</x:f>
        <x:v>暗褐灰长衣</x:v>
      </x:c>
      <x:c r="J18" s="31" t="str">
        <x:f>'01_Casting槽位'!L18</x:f>
        <x:v>持竹简静立</x:v>
      </x:c>
      <x:c r="K18" s="31" t="str">
        <x:f>'01_Casting槽位'!O18</x:f>
        <x:v>短身比例+方脸</x:v>
      </x:c>
      <x:c r="L18" s="31" t="str">
        <x:f>A18&amp;"|"&amp;C18&amp;"|"&amp;D18&amp;"|"&amp;E18&amp;"|"&amp;F18&amp;"|"&amp;G18&amp;"|"&amp;H18&amp;"|"&amp;I18&amp;"|"&amp;J18&amp;"|"&amp;K18</x:f>
        <x:v>G03|男|26–32|偏矮|紧实|方脸|整髻、无须|暗褐灰长衣|持竹简静立|短身比例+方脸</x:v>
      </x:c>
      <x:c r="M18" s="31" t="n">
        <x:f>COUNTIF($L$5:$L$37,L18)</x:f>
        <x:v>1</x:v>
      </x:c>
      <x:c r="N18" s="31" t="str">
        <x:f>IF(M18=1,"通过","需重做")</x:f>
        <x:v>通过</x:v>
      </x:c>
    </x:row>
    <x:row r="19" ht="42" customHeight="1">
      <x:c r="A19" s="31" t="str">
        <x:f>'01_Casting槽位'!A19</x:f>
        <x:v>G03</x:v>
      </x:c>
      <x:c r="B19" s="31" t="str">
        <x:f>'01_Casting槽位'!B19</x:f>
        <x:v>G03-03</x:v>
      </x:c>
      <x:c r="C19" s="31" t="str">
        <x:f>'01_Casting槽位'!E19</x:f>
        <x:v>男</x:v>
      </x:c>
      <x:c r="D19" s="31" t="str">
        <x:f>'01_Casting槽位'!F19</x:f>
        <x:v>45–52</x:v>
      </x:c>
      <x:c r="E19" s="31" t="str">
        <x:f>'01_Casting槽位'!G19</x:f>
        <x:v>高</x:v>
      </x:c>
      <x:c r="F19" s="31" t="str">
        <x:f>'01_Casting槽位'!H19</x:f>
        <x:v>瘦长</x:v>
      </x:c>
      <x:c r="G19" s="31" t="str">
        <x:f>'01_Casting槽位'!I19</x:f>
        <x:v>倒三角脸</x:v>
      </x:c>
      <x:c r="H19" s="31" t="str">
        <x:f>'01_Casting槽位'!J19</x:f>
        <x:v>低髻、鬓灰短须</x:v>
      </x:c>
      <x:c r="I19" s="31" t="str">
        <x:f>'01_Casting槽位'!K19</x:f>
        <x:v>黑灰长衣</x:v>
      </x:c>
      <x:c r="J19" s="31" t="str">
        <x:f>'01_Casting槽位'!L19</x:f>
        <x:v>空手袖内静候</x:v>
      </x:c>
      <x:c r="K19" s="31" t="str">
        <x:f>'01_Casting槽位'!O19</x:f>
        <x:v>高瘦+倒三角脸</x:v>
      </x:c>
      <x:c r="L19" s="31" t="str">
        <x:f>A19&amp;"|"&amp;C19&amp;"|"&amp;D19&amp;"|"&amp;E19&amp;"|"&amp;F19&amp;"|"&amp;G19&amp;"|"&amp;H19&amp;"|"&amp;I19&amp;"|"&amp;J19&amp;"|"&amp;K19</x:f>
        <x:v>G03|男|45–52|高|瘦长|倒三角脸|低髻、鬓灰短须|黑灰长衣|空手袖内静候|高瘦+倒三角脸</x:v>
      </x:c>
      <x:c r="M19" s="31" t="n">
        <x:f>COUNTIF($L$5:$L$37,L19)</x:f>
        <x:v>1</x:v>
      </x:c>
      <x:c r="N19" s="31" t="str">
        <x:f>IF(M19=1,"通过","需重做")</x:f>
        <x:v>通过</x:v>
      </x:c>
    </x:row>
    <x:row r="20" ht="42" customHeight="1">
      <x:c r="A20" s="31" t="str">
        <x:f>'01_Casting槽位'!A20</x:f>
        <x:v>G04</x:v>
      </x:c>
      <x:c r="B20" s="31" t="str">
        <x:f>'01_Casting槽位'!B20</x:f>
        <x:v>G04-01</x:v>
      </x:c>
      <x:c r="C20" s="31" t="str">
        <x:f>'01_Casting槽位'!E20</x:f>
        <x:v>男</x:v>
      </x:c>
      <x:c r="D20" s="31" t="str">
        <x:f>'01_Casting槽位'!F20</x:f>
        <x:v>46–55</x:v>
      </x:c>
      <x:c r="E20" s="31" t="str">
        <x:f>'01_Casting槽位'!G20</x:f>
        <x:v>中等</x:v>
      </x:c>
      <x:c r="F20" s="31" t="str">
        <x:f>'01_Casting槽位'!H20</x:f>
        <x:v>敦实</x:v>
      </x:c>
      <x:c r="G20" s="31" t="str">
        <x:f>'01_Casting槽位'!I20</x:f>
        <x:v>宽脸</x:v>
      </x:c>
      <x:c r="H20" s="31" t="str">
        <x:f>'01_Casting槽位'!J20</x:f>
        <x:v>低髻、短须</x:v>
      </x:c>
      <x:c r="I20" s="31" t="str">
        <x:f>'01_Casting槽位'!K20</x:f>
        <x:v>土褐粗织衣+束袖</x:v>
      </x:c>
      <x:c r="J20" s="31" t="str">
        <x:f>'01_Casting槽位'!L20</x:f>
        <x:v>清理沟渠</x:v>
      </x:c>
      <x:c r="K20" s="31" t="str">
        <x:f>'01_Casting槽位'!O20</x:f>
        <x:v>厚手掌+敦实体态</x:v>
      </x:c>
      <x:c r="L20" s="31" t="str">
        <x:f>A20&amp;"|"&amp;C20&amp;"|"&amp;D20&amp;"|"&amp;E20&amp;"|"&amp;F20&amp;"|"&amp;G20&amp;"|"&amp;H20&amp;"|"&amp;I20&amp;"|"&amp;J20&amp;"|"&amp;K20</x:f>
        <x:v>G04|男|46–55|中等|敦实|宽脸|低髻、短须|土褐粗织衣+束袖|清理沟渠|厚手掌+敦实体态</x:v>
      </x:c>
      <x:c r="M20" s="31" t="n">
        <x:f>COUNTIF($L$5:$L$37,L20)</x:f>
        <x:v>1</x:v>
      </x:c>
      <x:c r="N20" s="31" t="str">
        <x:f>IF(M20=1,"通过","需重做")</x:f>
        <x:v>通过</x:v>
      </x:c>
    </x:row>
    <x:row r="21" ht="42" customHeight="1">
      <x:c r="A21" s="31" t="str">
        <x:f>'01_Casting槽位'!A21</x:f>
        <x:v>G04</x:v>
      </x:c>
      <x:c r="B21" s="31" t="str">
        <x:f>'01_Casting槽位'!B21</x:f>
        <x:v>G04-02</x:v>
      </x:c>
      <x:c r="C21" s="31" t="str">
        <x:f>'01_Casting槽位'!E21</x:f>
        <x:v>女</x:v>
      </x:c>
      <x:c r="D21" s="31" t="str">
        <x:f>'01_Casting槽位'!F21</x:f>
        <x:v>38–48</x:v>
      </x:c>
      <x:c r="E21" s="31" t="str">
        <x:f>'01_Casting槽位'!G21</x:f>
        <x:v>中等</x:v>
      </x:c>
      <x:c r="F21" s="31" t="str">
        <x:f>'01_Casting槽位'!H21</x:f>
        <x:v>结实</x:v>
      </x:c>
      <x:c r="G21" s="31" t="str">
        <x:f>'01_Casting槽位'!I21</x:f>
        <x:v>圆脸</x:v>
      </x:c>
      <x:c r="H21" s="31" t="str">
        <x:f>'01_Casting槽位'!J21</x:f>
        <x:v>布帛束发</x:v>
      </x:c>
      <x:c r="I21" s="31" t="str">
        <x:f>'01_Casting槽位'!K21</x:f>
        <x:v>米白粗织衣+灰蓝围布</x:v>
      </x:c>
      <x:c r="J21" s="31" t="str">
        <x:f>'01_Casting槽位'!L21</x:f>
        <x:v>筛谷</x:v>
      </x:c>
      <x:c r="K21" s="31" t="str">
        <x:f>'01_Casting槽位'!O21</x:f>
        <x:v>圆脸+灰蓝围布</x:v>
      </x:c>
      <x:c r="L21" s="31" t="str">
        <x:f>A21&amp;"|"&amp;C21&amp;"|"&amp;D21&amp;"|"&amp;E21&amp;"|"&amp;F21&amp;"|"&amp;G21&amp;"|"&amp;H21&amp;"|"&amp;I21&amp;"|"&amp;J21&amp;"|"&amp;K21</x:f>
        <x:v>G04|女|38–48|中等|结实|圆脸|布帛束发|米白粗织衣+灰蓝围布|筛谷|圆脸+灰蓝围布</x:v>
      </x:c>
      <x:c r="M21" s="31" t="n">
        <x:f>COUNTIF($L$5:$L$37,L21)</x:f>
        <x:v>1</x:v>
      </x:c>
      <x:c r="N21" s="31" t="str">
        <x:f>IF(M21=1,"通过","需重做")</x:f>
        <x:v>通过</x:v>
      </x:c>
    </x:row>
    <x:row r="22" ht="42" customHeight="1">
      <x:c r="A22" s="31" t="str">
        <x:f>'01_Casting槽位'!A22</x:f>
        <x:v>G04</x:v>
      </x:c>
      <x:c r="B22" s="31" t="str">
        <x:f>'01_Casting槽位'!B22</x:f>
        <x:v>G04-03</x:v>
      </x:c>
      <x:c r="C22" s="31" t="str">
        <x:f>'01_Casting槽位'!E22</x:f>
        <x:v>男</x:v>
      </x:c>
      <x:c r="D22" s="31" t="str">
        <x:f>'01_Casting槽位'!F22</x:f>
        <x:v>24–30</x:v>
      </x:c>
      <x:c r="E22" s="31" t="str">
        <x:f>'01_Casting槽位'!G22</x:f>
        <x:v>高</x:v>
      </x:c>
      <x:c r="F22" s="31" t="str">
        <x:f>'01_Casting槽位'!H22</x:f>
        <x:v>瘦韧</x:v>
      </x:c>
      <x:c r="G22" s="31" t="str">
        <x:f>'01_Casting槽位'!I22</x:f>
        <x:v>窄长脸</x:v>
      </x:c>
      <x:c r="H22" s="31" t="str">
        <x:f>'01_Casting槽位'!J22</x:f>
        <x:v>高髻、无须</x:v>
      </x:c>
      <x:c r="I22" s="31" t="str">
        <x:f>'01_Casting槽位'!K22</x:f>
        <x:v>灰蓝短衣+束袖</x:v>
      </x:c>
      <x:c r="J22" s="31" t="str">
        <x:f>'01_Casting槽位'!L22</x:f>
        <x:v>接递重袋</x:v>
      </x:c>
      <x:c r="K22" s="31" t="str">
        <x:f>'01_Casting槽位'!O22</x:f>
        <x:v>长臂+灰蓝短衣</x:v>
      </x:c>
      <x:c r="L22" s="31" t="str">
        <x:f>A22&amp;"|"&amp;C22&amp;"|"&amp;D22&amp;"|"&amp;E22&amp;"|"&amp;F22&amp;"|"&amp;G22&amp;"|"&amp;H22&amp;"|"&amp;I22&amp;"|"&amp;J22&amp;"|"&amp;K22</x:f>
        <x:v>G04|男|24–30|高|瘦韧|窄长脸|高髻、无须|灰蓝短衣+束袖|接递重袋|长臂+灰蓝短衣</x:v>
      </x:c>
      <x:c r="M22" s="31" t="n">
        <x:f>COUNTIF($L$5:$L$37,L22)</x:f>
        <x:v>1</x:v>
      </x:c>
      <x:c r="N22" s="31" t="str">
        <x:f>IF(M22=1,"通过","需重做")</x:f>
        <x:v>通过</x:v>
      </x:c>
    </x:row>
    <x:row r="23" ht="42" customHeight="1">
      <x:c r="A23" s="31" t="str">
        <x:f>'01_Casting槽位'!A23</x:f>
        <x:v>G04</x:v>
      </x:c>
      <x:c r="B23" s="31" t="str">
        <x:f>'01_Casting槽位'!B23</x:f>
        <x:v>G04-04</x:v>
      </x:c>
      <x:c r="C23" s="31" t="str">
        <x:f>'01_Casting槽位'!E23</x:f>
        <x:v>女</x:v>
      </x:c>
      <x:c r="D23" s="31" t="str">
        <x:f>'01_Casting槽位'!F23</x:f>
        <x:v>30–38</x:v>
      </x:c>
      <x:c r="E23" s="31" t="str">
        <x:f>'01_Casting槽位'!G23</x:f>
        <x:v>偏矮</x:v>
      </x:c>
      <x:c r="F23" s="31" t="str">
        <x:f>'01_Casting槽位'!H23</x:f>
        <x:v>紧实</x:v>
      </x:c>
      <x:c r="G23" s="31" t="str">
        <x:f>'01_Casting槽位'!I23</x:f>
        <x:v>鹅蛋脸</x:v>
      </x:c>
      <x:c r="H23" s="31" t="str">
        <x:f>'01_Casting槽位'!J23</x:f>
        <x:v>低束发</x:v>
      </x:c>
      <x:c r="I23" s="31" t="str">
        <x:f>'01_Casting槽位'!K23</x:f>
        <x:v>烟灰短衣+米白下裳</x:v>
      </x:c>
      <x:c r="J23" s="31" t="str">
        <x:f>'01_Casting槽位'!L23</x:f>
        <x:v>扎紧麻绳</x:v>
      </x:c>
      <x:c r="K23" s="31" t="str">
        <x:f>'01_Casting槽位'!O23</x:f>
        <x:v>低重心+短袖线条</x:v>
      </x:c>
      <x:c r="L23" s="31" t="str">
        <x:f>A23&amp;"|"&amp;C23&amp;"|"&amp;D23&amp;"|"&amp;E23&amp;"|"&amp;F23&amp;"|"&amp;G23&amp;"|"&amp;H23&amp;"|"&amp;I23&amp;"|"&amp;J23&amp;"|"&amp;K23</x:f>
        <x:v>G04|女|30–38|偏矮|紧实|鹅蛋脸|低束发|烟灰短衣+米白下裳|扎紧麻绳|低重心+短袖线条</x:v>
      </x:c>
      <x:c r="M23" s="31" t="n">
        <x:f>COUNTIF($L$5:$L$37,L23)</x:f>
        <x:v>1</x:v>
      </x:c>
      <x:c r="N23" s="31" t="str">
        <x:f>IF(M23=1,"通过","需重做")</x:f>
        <x:v>通过</x:v>
      </x:c>
    </x:row>
    <x:row r="24" ht="42" customHeight="1">
      <x:c r="A24" s="31" t="str">
        <x:f>'01_Casting槽位'!A24</x:f>
        <x:v>G04</x:v>
      </x:c>
      <x:c r="B24" s="31" t="str">
        <x:f>'01_Casting槽位'!B24</x:f>
        <x:v>G04-05</x:v>
      </x:c>
      <x:c r="C24" s="31" t="str">
        <x:f>'01_Casting槽位'!E24</x:f>
        <x:v>男</x:v>
      </x:c>
      <x:c r="D24" s="31" t="str">
        <x:f>'01_Casting槽位'!F24</x:f>
        <x:v>34–42</x:v>
      </x:c>
      <x:c r="E24" s="31" t="str">
        <x:f>'01_Casting槽位'!G24</x:f>
        <x:v>中等偏高</x:v>
      </x:c>
      <x:c r="F24" s="31" t="str">
        <x:f>'01_Casting槽位'!H24</x:f>
        <x:v>宽肩</x:v>
      </x:c>
      <x:c r="G24" s="31" t="str">
        <x:f>'01_Casting槽位'!I24</x:f>
        <x:v>方颌脸</x:v>
      </x:c>
      <x:c r="H24" s="31" t="str">
        <x:f>'01_Casting槽位'!J24</x:f>
        <x:v>整髻、短须</x:v>
      </x:c>
      <x:c r="I24" s="31" t="str">
        <x:f>'01_Casting槽位'!K24</x:f>
        <x:v>深褐粗织衣</x:v>
      </x:c>
      <x:c r="J24" s="31" t="str">
        <x:f>'01_Casting槽位'!L24</x:f>
        <x:v>推车/检查木轴</x:v>
      </x:c>
      <x:c r="K24" s="31" t="str">
        <x:f>'01_Casting槽位'!O24</x:f>
        <x:v>宽肩+方颌</x:v>
      </x:c>
      <x:c r="L24" s="31" t="str">
        <x:f>A24&amp;"|"&amp;C24&amp;"|"&amp;D24&amp;"|"&amp;E24&amp;"|"&amp;F24&amp;"|"&amp;G24&amp;"|"&amp;H24&amp;"|"&amp;I24&amp;"|"&amp;J24&amp;"|"&amp;K24</x:f>
        <x:v>G04|男|34–42|中等偏高|宽肩|方颌脸|整髻、短须|深褐粗织衣|推车/检查木轴|宽肩+方颌</x:v>
      </x:c>
      <x:c r="M24" s="31" t="n">
        <x:f>COUNTIF($L$5:$L$37,L24)</x:f>
        <x:v>1</x:v>
      </x:c>
      <x:c r="N24" s="31" t="str">
        <x:f>IF(M24=1,"通过","需重做")</x:f>
        <x:v>通过</x:v>
      </x:c>
    </x:row>
    <x:row r="25" ht="42" customHeight="1">
      <x:c r="A25" s="31" t="str">
        <x:f>'01_Casting槽位'!A25</x:f>
        <x:v>G04</x:v>
      </x:c>
      <x:c r="B25" s="31" t="str">
        <x:f>'01_Casting槽位'!B25</x:f>
        <x:v>G04-06</x:v>
      </x:c>
      <x:c r="C25" s="31" t="str">
        <x:f>'01_Casting槽位'!E25</x:f>
        <x:v>女</x:v>
      </x:c>
      <x:c r="D25" s="31" t="str">
        <x:f>'01_Casting槽位'!F25</x:f>
        <x:v>55–65</x:v>
      </x:c>
      <x:c r="E25" s="31" t="str">
        <x:f>'01_Casting槽位'!G25</x:f>
        <x:v>偏矮</x:v>
      </x:c>
      <x:c r="F25" s="31" t="str">
        <x:f>'01_Casting槽位'!H25</x:f>
        <x:v>瘦韧</x:v>
      </x:c>
      <x:c r="G25" s="31" t="str">
        <x:f>'01_Casting槽位'!I25</x:f>
        <x:v>矩形脸</x:v>
      </x:c>
      <x:c r="H25" s="31" t="str">
        <x:f>'01_Casting槽位'!J25</x:f>
        <x:v>灰发布巾束发</x:v>
      </x:c>
      <x:c r="I25" s="31" t="str">
        <x:f>'01_Casting槽位'!K25</x:f>
        <x:v>米灰粗织长衣</x:v>
      </x:c>
      <x:c r="J25" s="31" t="str">
        <x:f>'01_Casting槽位'!L25</x:f>
        <x:v>搬竹筐后停稳</x:v>
      </x:c>
      <x:c r="K25" s="31" t="str">
        <x:f>'01_Casting槽位'!O25</x:f>
        <x:v>灰发布巾+瘦韧体态</x:v>
      </x:c>
      <x:c r="L25" s="31" t="str">
        <x:f>A25&amp;"|"&amp;C25&amp;"|"&amp;D25&amp;"|"&amp;E25&amp;"|"&amp;F25&amp;"|"&amp;G25&amp;"|"&amp;H25&amp;"|"&amp;I25&amp;"|"&amp;J25&amp;"|"&amp;K25</x:f>
        <x:v>G04|女|55–65|偏矮|瘦韧|矩形脸|灰发布巾束发|米灰粗织长衣|搬竹筐后停稳|灰发布巾+瘦韧体态</x:v>
      </x:c>
      <x:c r="M25" s="31" t="n">
        <x:f>COUNTIF($L$5:$L$37,L25)</x:f>
        <x:v>1</x:v>
      </x:c>
      <x:c r="N25" s="31" t="str">
        <x:f>IF(M25=1,"通过","需重做")</x:f>
        <x:v>通过</x:v>
      </x:c>
    </x:row>
    <x:row r="26" ht="42" customHeight="1">
      <x:c r="A26" s="31" t="str">
        <x:f>'01_Casting槽位'!A26</x:f>
        <x:v>G05</x:v>
      </x:c>
      <x:c r="B26" s="31" t="str">
        <x:f>'01_Casting槽位'!B26</x:f>
        <x:v>G05-01</x:v>
      </x:c>
      <x:c r="C26" s="31" t="str">
        <x:f>'01_Casting槽位'!E26</x:f>
        <x:v>男</x:v>
      </x:c>
      <x:c r="D26" s="31" t="str">
        <x:f>'01_Casting槽位'!F26</x:f>
        <x:v>36–44</x:v>
      </x:c>
      <x:c r="E26" s="31" t="str">
        <x:f>'01_Casting槽位'!G26</x:f>
        <x:v>中等</x:v>
      </x:c>
      <x:c r="F26" s="31" t="str">
        <x:f>'01_Casting槽位'!H26</x:f>
        <x:v>匀称</x:v>
      </x:c>
      <x:c r="G26" s="31" t="str">
        <x:f>'01_Casting槽位'!I26</x:f>
        <x:v>椭圆脸</x:v>
      </x:c>
      <x:c r="H26" s="31" t="str">
        <x:f>'01_Casting槽位'!J26</x:f>
        <x:v>低髻、短须</x:v>
      </x:c>
      <x:c r="I26" s="31" t="str">
        <x:f>'01_Casting槽位'!K26</x:f>
        <x:v>土黄长衣+深褐腰带</x:v>
      </x:c>
      <x:c r="J26" s="31" t="str">
        <x:f>'01_Casting槽位'!L26</x:f>
        <x:v>查看量器</x:v>
      </x:c>
      <x:c r="K26" s="31" t="str">
        <x:f>'01_Casting槽位'!O26</x:f>
        <x:v>土黄长衣+细腰带</x:v>
      </x:c>
      <x:c r="L26" s="31" t="str">
        <x:f>A26&amp;"|"&amp;C26&amp;"|"&amp;D26&amp;"|"&amp;E26&amp;"|"&amp;F26&amp;"|"&amp;G26&amp;"|"&amp;H26&amp;"|"&amp;I26&amp;"|"&amp;J26&amp;"|"&amp;K26</x:f>
        <x:v>G05|男|36–44|中等|匀称|椭圆脸|低髻、短须|土黄长衣+深褐腰带|查看量器|土黄长衣+细腰带</x:v>
      </x:c>
      <x:c r="M26" s="31" t="n">
        <x:f>COUNTIF($L$5:$L$37,L26)</x:f>
        <x:v>1</x:v>
      </x:c>
      <x:c r="N26" s="31" t="str">
        <x:f>IF(M26=1,"通过","需重做")</x:f>
        <x:v>通过</x:v>
      </x:c>
    </x:row>
    <x:row r="27" ht="42" customHeight="1">
      <x:c r="A27" s="31" t="str">
        <x:f>'01_Casting槽位'!A27</x:f>
        <x:v>G05</x:v>
      </x:c>
      <x:c r="B27" s="31" t="str">
        <x:f>'01_Casting槽位'!B27</x:f>
        <x:v>G05-02</x:v>
      </x:c>
      <x:c r="C27" s="31" t="str">
        <x:f>'01_Casting槽位'!E27</x:f>
        <x:v>女</x:v>
      </x:c>
      <x:c r="D27" s="31" t="str">
        <x:f>'01_Casting槽位'!F27</x:f>
        <x:v>28–36</x:v>
      </x:c>
      <x:c r="E27" s="31" t="str">
        <x:f>'01_Casting槽位'!G27</x:f>
        <x:v>中等偏高</x:v>
      </x:c>
      <x:c r="F27" s="31" t="str">
        <x:f>'01_Casting槽位'!H27</x:f>
        <x:v>修长</x:v>
      </x:c>
      <x:c r="G27" s="31" t="str">
        <x:f>'01_Casting槽位'!I27</x:f>
        <x:v>心形脸</x:v>
      </x:c>
      <x:c r="H27" s="31" t="str">
        <x:f>'01_Casting槽位'!J27</x:f>
        <x:v>低束发</x:v>
      </x:c>
      <x:c r="I27" s="31" t="str">
        <x:f>'01_Casting槽位'!K27</x:f>
        <x:v>灰蓝长衣+米白披帛</x:v>
      </x:c>
      <x:c r="J27" s="31" t="str">
        <x:f>'01_Casting槽位'!L27</x:f>
        <x:v>检查布匹纹理</x:v>
      </x:c>
      <x:c r="K27" s="31" t="str">
        <x:f>'01_Casting槽位'!O27</x:f>
        <x:v>灰蓝纵向轮廓</x:v>
      </x:c>
      <x:c r="L27" s="31" t="str">
        <x:f>A27&amp;"|"&amp;C27&amp;"|"&amp;D27&amp;"|"&amp;E27&amp;"|"&amp;F27&amp;"|"&amp;G27&amp;"|"&amp;H27&amp;"|"&amp;I27&amp;"|"&amp;J27&amp;"|"&amp;K27</x:f>
        <x:v>G05|女|28–36|中等偏高|修长|心形脸|低束发|灰蓝长衣+米白披帛|检查布匹纹理|灰蓝纵向轮廓</x:v>
      </x:c>
      <x:c r="M27" s="31" t="n">
        <x:f>COUNTIF($L$5:$L$37,L27)</x:f>
        <x:v>1</x:v>
      </x:c>
      <x:c r="N27" s="31" t="str">
        <x:f>IF(M27=1,"通过","需重做")</x:f>
        <x:v>通过</x:v>
      </x:c>
    </x:row>
    <x:row r="28" ht="42" customHeight="1">
      <x:c r="A28" s="31" t="str">
        <x:f>'01_Casting槽位'!A28</x:f>
        <x:v>G05</x:v>
      </x:c>
      <x:c r="B28" s="31" t="str">
        <x:f>'01_Casting槽位'!B28</x:f>
        <x:v>G05-03</x:v>
      </x:c>
      <x:c r="C28" s="31" t="str">
        <x:f>'01_Casting槽位'!E28</x:f>
        <x:v>男</x:v>
      </x:c>
      <x:c r="D28" s="31" t="str">
        <x:f>'01_Casting槽位'!F28</x:f>
        <x:v>48–56</x:v>
      </x:c>
      <x:c r="E28" s="31" t="str">
        <x:f>'01_Casting槽位'!G28</x:f>
        <x:v>偏矮</x:v>
      </x:c>
      <x:c r="F28" s="31" t="str">
        <x:f>'01_Casting槽位'!H28</x:f>
        <x:v>敦实</x:v>
      </x:c>
      <x:c r="G28" s="31" t="str">
        <x:f>'01_Casting槽位'!I28</x:f>
        <x:v>宽圆脸</x:v>
      </x:c>
      <x:c r="H28" s="31" t="str">
        <x:f>'01_Casting槽位'!J28</x:f>
        <x:v>低髻、灰须</x:v>
      </x:c>
      <x:c r="I28" s="31" t="str">
        <x:f>'01_Casting槽位'!K28</x:f>
        <x:v>暗赭粗织衣</x:v>
      </x:c>
      <x:c r="J28" s="31" t="str">
        <x:f>'01_Casting槽位'!L28</x:f>
        <x:v>托住陶罐底部</x:v>
      </x:c>
      <x:c r="K28" s="31" t="str">
        <x:f>'01_Casting槽位'!O28</x:f>
        <x:v>敦实+暗赭块面</x:v>
      </x:c>
      <x:c r="L28" s="31" t="str">
        <x:f>A28&amp;"|"&amp;C28&amp;"|"&amp;D28&amp;"|"&amp;E28&amp;"|"&amp;F28&amp;"|"&amp;G28&amp;"|"&amp;H28&amp;"|"&amp;I28&amp;"|"&amp;J28&amp;"|"&amp;K28</x:f>
        <x:v>G05|男|48–56|偏矮|敦实|宽圆脸|低髻、灰须|暗赭粗织衣|托住陶罐底部|敦实+暗赭块面</x:v>
      </x:c>
      <x:c r="M28" s="31" t="n">
        <x:f>COUNTIF($L$5:$L$37,L28)</x:f>
        <x:v>1</x:v>
      </x:c>
      <x:c r="N28" s="31" t="str">
        <x:f>IF(M28=1,"通过","需重做")</x:f>
        <x:v>通过</x:v>
      </x:c>
    </x:row>
    <x:row r="29" ht="42" customHeight="1">
      <x:c r="A29" s="31" t="str">
        <x:f>'01_Casting槽位'!A29</x:f>
        <x:v>G05</x:v>
      </x:c>
      <x:c r="B29" s="31" t="str">
        <x:f>'01_Casting槽位'!B29</x:f>
        <x:v>G05-04</x:v>
      </x:c>
      <x:c r="C29" s="31" t="str">
        <x:f>'01_Casting槽位'!E29</x:f>
        <x:v>男</x:v>
      </x:c>
      <x:c r="D29" s="31" t="str">
        <x:f>'01_Casting槽位'!F29</x:f>
        <x:v>25–32</x:v>
      </x:c>
      <x:c r="E29" s="31" t="str">
        <x:f>'01_Casting槽位'!G29</x:f>
        <x:v>高</x:v>
      </x:c>
      <x:c r="F29" s="31" t="str">
        <x:f>'01_Casting槽位'!H29</x:f>
        <x:v>精瘦</x:v>
      </x:c>
      <x:c r="G29" s="31" t="str">
        <x:f>'01_Casting槽位'!I29</x:f>
        <x:v>菱形脸</x:v>
      </x:c>
      <x:c r="H29" s="31" t="str">
        <x:f>'01_Casting槽位'!J29</x:f>
        <x:v>高髻、无须</x:v>
      </x:c>
      <x:c r="I29" s="31" t="str">
        <x:f>'01_Casting槽位'!K29</x:f>
        <x:v>米白短衣+灰褐护腿</x:v>
      </x:c>
      <x:c r="J29" s="31" t="str">
        <x:f>'01_Casting槽位'!L29</x:f>
        <x:v>捆扎竹木</x:v>
      </x:c>
      <x:c r="K29" s="31" t="str">
        <x:f>'01_Casting槽位'!O29</x:f>
        <x:v>高瘦+长束材</x:v>
      </x:c>
      <x:c r="L29" s="31" t="str">
        <x:f>A29&amp;"|"&amp;C29&amp;"|"&amp;D29&amp;"|"&amp;E29&amp;"|"&amp;F29&amp;"|"&amp;G29&amp;"|"&amp;H29&amp;"|"&amp;I29&amp;"|"&amp;J29&amp;"|"&amp;K29</x:f>
        <x:v>G05|男|25–32|高|精瘦|菱形脸|高髻、无须|米白短衣+灰褐护腿|捆扎竹木|高瘦+长束材</x:v>
      </x:c>
      <x:c r="M29" s="31" t="n">
        <x:f>COUNTIF($L$5:$L$37,L29)</x:f>
        <x:v>1</x:v>
      </x:c>
      <x:c r="N29" s="31" t="str">
        <x:f>IF(M29=1,"通过","需重做")</x:f>
        <x:v>通过</x:v>
      </x:c>
    </x:row>
    <x:row r="30" ht="42" customHeight="1">
      <x:c r="A30" s="31" t="str">
        <x:f>'01_Casting槽位'!A30</x:f>
        <x:v>G05</x:v>
      </x:c>
      <x:c r="B30" s="31" t="str">
        <x:f>'01_Casting槽位'!B30</x:f>
        <x:v>G05-05</x:v>
      </x:c>
      <x:c r="C30" s="31" t="str">
        <x:f>'01_Casting槽位'!E30</x:f>
        <x:v>女</x:v>
      </x:c>
      <x:c r="D30" s="31" t="str">
        <x:f>'01_Casting槽位'!F30</x:f>
        <x:v>40–48</x:v>
      </x:c>
      <x:c r="E30" s="31" t="str">
        <x:f>'01_Casting槽位'!G30</x:f>
        <x:v>中等</x:v>
      </x:c>
      <x:c r="F30" s="31" t="str">
        <x:f>'01_Casting槽位'!H30</x:f>
        <x:v>结实</x:v>
      </x:c>
      <x:c r="G30" s="31" t="str">
        <x:f>'01_Casting槽位'!I30</x:f>
        <x:v>方脸</x:v>
      </x:c>
      <x:c r="H30" s="31" t="str">
        <x:f>'01_Casting槽位'!J30</x:f>
        <x:v>布带束发</x:v>
      </x:c>
      <x:c r="I30" s="31" t="str">
        <x:f>'01_Casting槽位'!K30</x:f>
        <x:v>黑褐长衣+暗朱细边</x:v>
      </x:c>
      <x:c r="J30" s="31" t="str">
        <x:f>'01_Casting槽位'!L30</x:f>
        <x:v>点头确认交付</x:v>
      </x:c>
      <x:c r="K30" s="31" t="str">
        <x:f>'01_Casting槽位'!O30</x:f>
        <x:v>方脸+暗朱细边</x:v>
      </x:c>
      <x:c r="L30" s="31" t="str">
        <x:f>A30&amp;"|"&amp;C30&amp;"|"&amp;D30&amp;"|"&amp;E30&amp;"|"&amp;F30&amp;"|"&amp;G30&amp;"|"&amp;H30&amp;"|"&amp;I30&amp;"|"&amp;J30&amp;"|"&amp;K30</x:f>
        <x:v>G05|女|40–48|中等|结实|方脸|布带束发|黑褐长衣+暗朱细边|点头确认交付|方脸+暗朱细边</x:v>
      </x:c>
      <x:c r="M30" s="31" t="n">
        <x:f>COUNTIF($L$5:$L$37,L30)</x:f>
        <x:v>1</x:v>
      </x:c>
      <x:c r="N30" s="31" t="str">
        <x:f>IF(M30=1,"通过","需重做")</x:f>
        <x:v>通过</x:v>
      </x:c>
    </x:row>
    <x:row r="31" ht="42" customHeight="1">
      <x:c r="A31" s="31" t="str">
        <x:f>'01_Casting槽位'!A31</x:f>
        <x:v>G05</x:v>
      </x:c>
      <x:c r="B31" s="31" t="str">
        <x:f>'01_Casting槽位'!B31</x:f>
        <x:v>G05-06</x:v>
      </x:c>
      <x:c r="C31" s="31" t="str">
        <x:f>'01_Casting槽位'!E31</x:f>
        <x:v>男</x:v>
      </x:c>
      <x:c r="D31" s="31" t="str">
        <x:f>'01_Casting槽位'!F31</x:f>
        <x:v>56–65</x:v>
      </x:c>
      <x:c r="E31" s="31" t="str">
        <x:f>'01_Casting槽位'!G31</x:f>
        <x:v>中等偏高</x:v>
      </x:c>
      <x:c r="F31" s="31" t="str">
        <x:f>'01_Casting槽位'!H31</x:f>
        <x:v>瘦长</x:v>
      </x:c>
      <x:c r="G31" s="31" t="str">
        <x:f>'01_Casting槽位'!I31</x:f>
        <x:v>长方脸</x:v>
      </x:c>
      <x:c r="H31" s="31" t="str">
        <x:f>'01_Casting槽位'!J31</x:f>
        <x:v>低髻、银灰短须</x:v>
      </x:c>
      <x:c r="I31" s="31" t="str">
        <x:f>'01_Casting槽位'!K31</x:f>
        <x:v>海盐灰长衣</x:v>
      </x:c>
      <x:c r="J31" s="31" t="str">
        <x:f>'01_Casting槽位'!L31</x:f>
        <x:v>查看衡器后致意</x:v>
      </x:c>
      <x:c r="K31" s="31" t="str">
        <x:f>'01_Casting槽位'!O31</x:f>
        <x:v>银灰须+海盐灰</x:v>
      </x:c>
      <x:c r="L31" s="31" t="str">
        <x:f>A31&amp;"|"&amp;C31&amp;"|"&amp;D31&amp;"|"&amp;E31&amp;"|"&amp;F31&amp;"|"&amp;G31&amp;"|"&amp;H31&amp;"|"&amp;I31&amp;"|"&amp;J31&amp;"|"&amp;K31</x:f>
        <x:v>G05|男|56–65|中等偏高|瘦长|长方脸|低髻、银灰短须|海盐灰长衣|查看衡器后致意|银灰须+海盐灰</x:v>
      </x:c>
      <x:c r="M31" s="31" t="n">
        <x:f>COUNTIF($L$5:$L$37,L31)</x:f>
        <x:v>1</x:v>
      </x:c>
      <x:c r="N31" s="31" t="str">
        <x:f>IF(M31=1,"通过","需重做")</x:f>
        <x:v>通过</x:v>
      </x:c>
    </x:row>
    <x:row r="32" ht="42" customHeight="1">
      <x:c r="A32" s="31" t="str">
        <x:f>'01_Casting槽位'!A32</x:f>
        <x:v>G06</x:v>
      </x:c>
      <x:c r="B32" s="31" t="str">
        <x:f>'01_Casting槽位'!B32</x:f>
        <x:v>G06-H01</x:v>
      </x:c>
      <x:c r="C32" s="31" t="str">
        <x:f>'01_Casting槽位'!E32</x:f>
        <x:v>不明示</x:v>
      </x:c>
      <x:c r="D32" s="31" t="str">
        <x:f>'01_Casting槽位'!F32</x:f>
        <x:v>25–35</x:v>
      </x:c>
      <x:c r="E32" s="31" t="str">
        <x:f>'01_Casting槽位'!G32</x:f>
        <x:v>仅手部</x:v>
      </x:c>
      <x:c r="F32" s="31" t="str">
        <x:f>'01_Casting槽位'!H32</x:f>
        <x:v>手指修长</x:v>
      </x:c>
      <x:c r="G32" s="31" t="str">
        <x:f>'01_Casting槽位'!I32</x:f>
        <x:v>不可见</x:v>
      </x:c>
      <x:c r="H32" s="31" t="str">
        <x:f>'01_Casting槽位'!J32</x:f>
        <x:v>袖口局部</x:v>
      </x:c>
      <x:c r="I32" s="31" t="str">
        <x:f>'01_Casting槽位'!K32</x:f>
        <x:v>年代模糊灰蓝袖口</x:v>
      </x:c>
      <x:c r="J32" s="31" t="str">
        <x:f>'01_Casting槽位'!L32</x:f>
        <x:v>放下一枚果品</x:v>
      </x:c>
      <x:c r="K32" s="31" t="str">
        <x:f>'01_Casting槽位'!O32</x:f>
        <x:v>修长手+灰蓝袖</x:v>
      </x:c>
      <x:c r="L32" s="31" t="str">
        <x:f>A32&amp;"|"&amp;C32&amp;"|"&amp;D32&amp;"|"&amp;E32&amp;"|"&amp;F32&amp;"|"&amp;G32&amp;"|"&amp;H32&amp;"|"&amp;I32&amp;"|"&amp;J32&amp;"|"&amp;K32</x:f>
        <x:v>G06|不明示|25–35|仅手部|手指修长|不可见|袖口局部|年代模糊灰蓝袖口|放下一枚果品|修长手+灰蓝袖</x:v>
      </x:c>
      <x:c r="M32" s="31" t="n">
        <x:f>COUNTIF($L$5:$L$37,L32)</x:f>
        <x:v>1</x:v>
      </x:c>
      <x:c r="N32" s="31" t="str">
        <x:f>IF(M32=1,"通过","需重做")</x:f>
        <x:v>通过</x:v>
      </x:c>
    </x:row>
    <x:row r="33" ht="42" customHeight="1">
      <x:c r="A33" s="31" t="str">
        <x:f>'01_Casting槽位'!A33</x:f>
        <x:v>G06</x:v>
      </x:c>
      <x:c r="B33" s="31" t="str">
        <x:f>'01_Casting槽位'!B33</x:f>
        <x:v>G06-H02</x:v>
      </x:c>
      <x:c r="C33" s="31" t="str">
        <x:f>'01_Casting槽位'!E33</x:f>
        <x:v>不明示</x:v>
      </x:c>
      <x:c r="D33" s="31" t="str">
        <x:f>'01_Casting槽位'!F33</x:f>
        <x:v>55–70</x:v>
      </x:c>
      <x:c r="E33" s="31" t="str">
        <x:f>'01_Casting槽位'!G33</x:f>
        <x:v>仅手部</x:v>
      </x:c>
      <x:c r="F33" s="31" t="str">
        <x:f>'01_Casting槽位'!H33</x:f>
        <x:v>骨节明显</x:v>
      </x:c>
      <x:c r="G33" s="31" t="str">
        <x:f>'01_Casting槽位'!I33</x:f>
        <x:v>不可见</x:v>
      </x:c>
      <x:c r="H33" s="31" t="str">
        <x:f>'01_Casting槽位'!J33</x:f>
        <x:v>袖口局部</x:v>
      </x:c>
      <x:c r="I33" s="31" t="str">
        <x:f>'01_Casting槽位'!K33</x:f>
        <x:v>年代模糊深褐袖口</x:v>
      </x:c>
      <x:c r="J33" s="31" t="str">
        <x:f>'01_Casting槽位'!L33</x:f>
        <x:v>放下一小撮谷物</x:v>
      </x:c>
      <x:c r="K33" s="31" t="str">
        <x:f>'01_Casting槽位'!O33</x:f>
        <x:v>骨节手+深褐袖</x:v>
      </x:c>
      <x:c r="L33" s="31" t="str">
        <x:f>A33&amp;"|"&amp;C33&amp;"|"&amp;D33&amp;"|"&amp;E33&amp;"|"&amp;F33&amp;"|"&amp;G33&amp;"|"&amp;H33&amp;"|"&amp;I33&amp;"|"&amp;J33&amp;"|"&amp;K33</x:f>
        <x:v>G06|不明示|55–70|仅手部|骨节明显|不可见|袖口局部|年代模糊深褐袖口|放下一小撮谷物|骨节手+深褐袖</x:v>
      </x:c>
      <x:c r="M33" s="31" t="n">
        <x:f>COUNTIF($L$5:$L$37,L33)</x:f>
        <x:v>1</x:v>
      </x:c>
      <x:c r="N33" s="31" t="str">
        <x:f>IF(M33=1,"通过","需重做")</x:f>
        <x:v>通过</x:v>
      </x:c>
    </x:row>
    <x:row r="34" ht="42" customHeight="1">
      <x:c r="A34" s="31" t="str">
        <x:f>'01_Casting槽位'!A34</x:f>
        <x:v>G06</x:v>
      </x:c>
      <x:c r="B34" s="31" t="str">
        <x:f>'01_Casting槽位'!B34</x:f>
        <x:v>G06-H03</x:v>
      </x:c>
      <x:c r="C34" s="31" t="str">
        <x:f>'01_Casting槽位'!E34</x:f>
        <x:v>不明示</x:v>
      </x:c>
      <x:c r="D34" s="31" t="str">
        <x:f>'01_Casting槽位'!F34</x:f>
        <x:v>35–50</x:v>
      </x:c>
      <x:c r="E34" s="31" t="str">
        <x:f>'01_Casting槽位'!G34</x:f>
        <x:v>仅手部</x:v>
      </x:c>
      <x:c r="F34" s="31" t="str">
        <x:f>'01_Casting槽位'!H34</x:f>
        <x:v>掌指粗糙</x:v>
      </x:c>
      <x:c r="G34" s="31" t="str">
        <x:f>'01_Casting槽位'!I34</x:f>
        <x:v>不可见</x:v>
      </x:c>
      <x:c r="H34" s="31" t="str">
        <x:f>'01_Casting槽位'!J34</x:f>
        <x:v>袖口局部</x:v>
      </x:c>
      <x:c r="I34" s="31" t="str">
        <x:f>'01_Casting槽位'!K34</x:f>
        <x:v>年代模糊米灰袖口</x:v>
      </x:c>
      <x:c r="J34" s="31" t="str">
        <x:f>'01_Casting槽位'!L34</x:f>
        <x:v>摆正朴素陶供物</x:v>
      </x:c>
      <x:c r="K34" s="31" t="str">
        <x:f>'01_Casting槽位'!O34</x:f>
        <x:v>粗糙手+米灰袖</x:v>
      </x:c>
      <x:c r="L34" s="31" t="str">
        <x:f>A34&amp;"|"&amp;C34&amp;"|"&amp;D34&amp;"|"&amp;E34&amp;"|"&amp;F34&amp;"|"&amp;G34&amp;"|"&amp;H34&amp;"|"&amp;I34&amp;"|"&amp;J34&amp;"|"&amp;K34</x:f>
        <x:v>G06|不明示|35–50|仅手部|掌指粗糙|不可见|袖口局部|年代模糊米灰袖口|摆正朴素陶供物|粗糙手+米灰袖</x:v>
      </x:c>
      <x:c r="M34" s="31" t="n">
        <x:f>COUNTIF($L$5:$L$37,L34)</x:f>
        <x:v>1</x:v>
      </x:c>
      <x:c r="N34" s="31" t="str">
        <x:f>IF(M34=1,"通过","需重做")</x:f>
        <x:v>通过</x:v>
      </x:c>
    </x:row>
    <x:row r="35" ht="42" customHeight="1">
      <x:c r="A35" s="31" t="str">
        <x:f>'01_Casting槽位'!A35</x:f>
        <x:v>G06</x:v>
      </x:c>
      <x:c r="B35" s="31" t="str">
        <x:f>'01_Casting槽位'!B35</x:f>
        <x:v>G06-S01</x:v>
      </x:c>
      <x:c r="C35" s="31" t="str">
        <x:f>'01_Casting槽位'!E35</x:f>
        <x:v>女形剪影</x:v>
      </x:c>
      <x:c r="D35" s="31" t="str">
        <x:f>'01_Casting槽位'!F35</x:f>
        <x:v>30–45</x:v>
      </x:c>
      <x:c r="E35" s="31" t="str">
        <x:f>'01_Casting槽位'!G35</x:f>
        <x:v>中等</x:v>
      </x:c>
      <x:c r="F35" s="31" t="str">
        <x:f>'01_Casting槽位'!H35</x:f>
        <x:v>修长剪影</x:v>
      </x:c>
      <x:c r="G35" s="31" t="str">
        <x:f>'01_Casting槽位'!I35</x:f>
        <x:v>不可辨</x:v>
      </x:c>
      <x:c r="H35" s="31" t="str">
        <x:f>'01_Casting槽位'!J35</x:f>
        <x:v>简单束发轮廓</x:v>
      </x:c>
      <x:c r="I35" s="31" t="str">
        <x:f>'01_Casting槽位'!K35</x:f>
        <x:v>无明确朝代、无现代结构</x:v>
      </x:c>
      <x:c r="J35" s="31" t="str">
        <x:f>'01_Casting槽位'!L35</x:f>
        <x:v>侧身离开供桌</x:v>
      </x:c>
      <x:c r="K35" s="31" t="str">
        <x:f>'01_Casting槽位'!O35</x:f>
        <x:v>窄肩长线条</x:v>
      </x:c>
      <x:c r="L35" s="31" t="str">
        <x:f>A35&amp;"|"&amp;C35&amp;"|"&amp;D35&amp;"|"&amp;E35&amp;"|"&amp;F35&amp;"|"&amp;G35&amp;"|"&amp;H35&amp;"|"&amp;I35&amp;"|"&amp;J35&amp;"|"&amp;K35</x:f>
        <x:v>G06|女形剪影|30–45|中等|修长剪影|不可辨|简单束发轮廓|无明确朝代、无现代结构|侧身离开供桌|窄肩长线条</x:v>
      </x:c>
      <x:c r="M35" s="31" t="n">
        <x:f>COUNTIF($L$5:$L$37,L35)</x:f>
        <x:v>1</x:v>
      </x:c>
      <x:c r="N35" s="31" t="str">
        <x:f>IF(M35=1,"通过","需重做")</x:f>
        <x:v>通过</x:v>
      </x:c>
    </x:row>
    <x:row r="36" ht="42" customHeight="1">
      <x:c r="A36" s="31" t="str">
        <x:f>'01_Casting槽位'!A36</x:f>
        <x:v>G06</x:v>
      </x:c>
      <x:c r="B36" s="31" t="str">
        <x:f>'01_Casting槽位'!B36</x:f>
        <x:v>G06-S02</x:v>
      </x:c>
      <x:c r="C36" s="31" t="str">
        <x:f>'01_Casting槽位'!E36</x:f>
        <x:v>男形剪影</x:v>
      </x:c>
      <x:c r="D36" s="31" t="str">
        <x:f>'01_Casting槽位'!F36</x:f>
        <x:v>45–60</x:v>
      </x:c>
      <x:c r="E36" s="31" t="str">
        <x:f>'01_Casting槽位'!G36</x:f>
        <x:v>偏高</x:v>
      </x:c>
      <x:c r="F36" s="31" t="str">
        <x:f>'01_Casting槽位'!H36</x:f>
        <x:v>宽肩剪影</x:v>
      </x:c>
      <x:c r="G36" s="31" t="str">
        <x:f>'01_Casting槽位'!I36</x:f>
        <x:v>不可辨</x:v>
      </x:c>
      <x:c r="H36" s="31" t="str">
        <x:f>'01_Casting槽位'!J36</x:f>
        <x:v>低髻轮廓</x:v>
      </x:c>
      <x:c r="I36" s="31" t="str">
        <x:f>'01_Casting槽位'!K36</x:f>
        <x:v>无明确朝代、无现代结构</x:v>
      </x:c>
      <x:c r="J36" s="31" t="str">
        <x:f>'01_Casting槽位'!L36</x:f>
        <x:v>短暂停立</x:v>
      </x:c>
      <x:c r="K36" s="31" t="str">
        <x:f>'01_Casting槽位'!O36</x:f>
        <x:v>宽肩短颈</x:v>
      </x:c>
      <x:c r="L36" s="31" t="str">
        <x:f>A36&amp;"|"&amp;C36&amp;"|"&amp;D36&amp;"|"&amp;E36&amp;"|"&amp;F36&amp;"|"&amp;G36&amp;"|"&amp;H36&amp;"|"&amp;I36&amp;"|"&amp;J36&amp;"|"&amp;K36</x:f>
        <x:v>G06|男形剪影|45–60|偏高|宽肩剪影|不可辨|低髻轮廓|无明确朝代、无现代结构|短暂停立|宽肩短颈</x:v>
      </x:c>
      <x:c r="M36" s="31" t="n">
        <x:f>COUNTIF($L$5:$L$37,L36)</x:f>
        <x:v>1</x:v>
      </x:c>
      <x:c r="N36" s="31" t="str">
        <x:f>IF(M36=1,"通过","需重做")</x:f>
        <x:v>通过</x:v>
      </x:c>
    </x:row>
    <x:row r="37" ht="42" customHeight="1">
      <x:c r="A37" s="38" t="str">
        <x:f>'01_Casting槽位'!A37</x:f>
        <x:v>G06</x:v>
      </x:c>
      <x:c r="B37" s="38" t="str">
        <x:f>'01_Casting槽位'!B37</x:f>
        <x:v>G06-S03</x:v>
      </x:c>
      <x:c r="C37" s="38" t="str">
        <x:f>'01_Casting槽位'!E37</x:f>
        <x:v>不明示</x:v>
      </x:c>
      <x:c r="D37" s="38" t="str">
        <x:f>'01_Casting槽位'!F37</x:f>
        <x:v>60+</x:v>
      </x:c>
      <x:c r="E37" s="38" t="str">
        <x:f>'01_Casting槽位'!G37</x:f>
        <x:v>偏矮</x:v>
      </x:c>
      <x:c r="F37" s="38" t="str">
        <x:f>'01_Casting槽位'!H37</x:f>
        <x:v>微驼但自然</x:v>
      </x:c>
      <x:c r="G37" s="38" t="str">
        <x:f>'01_Casting槽位'!I37</x:f>
        <x:v>不可辨</x:v>
      </x:c>
      <x:c r="H37" s="38" t="str">
        <x:f>'01_Casting槽位'!J37</x:f>
        <x:v>发式仅轮廓</x:v>
      </x:c>
      <x:c r="I37" s="38" t="str">
        <x:f>'01_Casting槽位'!K37</x:f>
        <x:v>无明确朝代、无现代结构</x:v>
      </x:c>
      <x:c r="J37" s="38" t="str">
        <x:f>'01_Casting槽位'!L37</x:f>
        <x:v>扶案后离开</x:v>
      </x:c>
      <x:c r="K37" s="38" t="str">
        <x:f>'01_Casting槽位'!O37</x:f>
        <x:v>偏矮微驼轮廓</x:v>
      </x:c>
      <x:c r="L37" s="38" t="str">
        <x:f>A37&amp;"|"&amp;C37&amp;"|"&amp;D37&amp;"|"&amp;E37&amp;"|"&amp;F37&amp;"|"&amp;G37&amp;"|"&amp;H37&amp;"|"&amp;I37&amp;"|"&amp;J37&amp;"|"&amp;K37</x:f>
        <x:v>G06|不明示|60+|偏矮|微驼但自然|不可辨|发式仅轮廓|无明确朝代、无现代结构|扶案后离开|偏矮微驼轮廓</x:v>
      </x:c>
      <x:c r="M37" s="38" t="n">
        <x:f>COUNTIF($L$5:$L$37,L37)</x:f>
        <x:v>1</x:v>
      </x:c>
      <x:c r="N37" s="38" t="str">
        <x:f>IF(M37=1,"通过","需重做")</x:f>
        <x:v>通过</x:v>
      </x:c>
    </x:row>
  </x:sheetData>
  <x:mergeCells>
    <x:mergeCell ref="A1:N1"/>
    <x:mergeCell ref="A2:N2"/>
  </x:mergeCells>
  <x:conditionalFormatting sqref="N5:N37">
    <x:cfRule type="containsText" dxfId="10" priority="1" operator="containsText" text="已通过"/>
    <x:cfRule type="containsText" dxfId="11" priority="2" operator="containsText" text="进行中"/>
    <x:cfRule type="containsText" dxfId="12" priority="3" operator="containsText" text="待导演确认"/>
    <x:cfRule type="containsText" dxfId="13" priority="4" operator="containsText" text="需重做"/>
    <x:cfRule type="containsText" dxfId="14" priority="5" operator="containsText" text="阻塞"/>
  </x:conditionalFormatting>
  <x:dataValidations count="1">
    <x:dataValidation type="list" sqref="N5:N37">
      <x:formula1>"未开始,进行中,待导演确认,未检查,已通过,需重做,阻塞"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273ff4737140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43" hidden="0" customWidth="1"/>
    <x:col min="5" max="5" width="34" hidden="0" customWidth="1"/>
    <x:col min="6" max="6" width="10" hidden="0" customWidth="1"/>
    <x:col min="7" max="7" width="11" hidden="0" customWidth="1"/>
    <x:col min="8" max="8" width="11" hidden="0" customWidth="1"/>
    <x:col min="9" max="9" width="24" hidden="0" customWidth="1"/>
    <x:col min="10" max="10" width="12" hidden="0" customWidth="1"/>
  </x:cols>
  <x:sheetData>
    <x:row r="1" ht="34" customHeight="1">
      <x:c r="A1" s="3" t="str">
        <x:v>群演去重与表演验收表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“复制脸”只是去重的一部分；还必须同时检查年龄、体态、轮廓、发式、服装、道具、视线、动作节拍和时代元素。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19" t="str">
        <x:v>检查ID</x:v>
      </x:c>
      <x:c r="B4" s="20" t="str">
        <x:v>范围</x:v>
      </x:c>
      <x:c r="C4" s="20" t="str">
        <x:v>检查维度</x:v>
      </x:c>
      <x:c r="D4" s="20" t="str">
        <x:v>通过标准</x:v>
      </x:c>
      <x:c r="E4" s="20" t="str">
        <x:v>检查方法</x:v>
      </x:c>
      <x:c r="F4" s="20" t="str">
        <x:v>严重度</x:v>
      </x:c>
      <x:c r="G4" s="20" t="str">
        <x:v>阻断闸门</x:v>
      </x:c>
      <x:c r="H4" s="20" t="str">
        <x:v>状态</x:v>
      </x:c>
      <x:c r="I4" s="20" t="str">
        <x:v>证据/版本</x:v>
      </x:c>
      <x:c r="J4" s="21" t="str">
        <x:v>审核人</x:v>
      </x:c>
    </x:row>
    <x:row r="5" ht="48" customHeight="1">
      <x:c r="A5" s="30" t="str">
        <x:v>DUP-01</x:v>
      </x:c>
      <x:c r="B5" s="30" t="str">
        <x:v>跨组</x:v>
      </x:c>
      <x:c r="C5" s="30" t="str">
        <x:v>清晰人脸相似度</x:v>
      </x:c>
      <x:c r="D5" s="30" t="str">
        <x:v>任何两个清晰露脸槽位不得看起来像同一张脸换衣服</x:v>
      </x:c>
      <x:c r="E5" s="30" t="str">
        <x:v>并排100%检查；必要时使用人脸嵌入相似度阈值</x:v>
      </x:c>
      <x:c r="F5" s="30" t="str">
        <x:v>致命</x:v>
      </x:c>
      <x:c r="G5" s="30" t="str">
        <x:v>是</x:v>
      </x:c>
      <x:c r="H5" s="30" t="str">
        <x:v>未检查</x:v>
      </x:c>
      <x:c r="I5" s="30" t="str"/>
      <x:c r="J5" s="30" t="str"/>
    </x:row>
    <x:row r="6" ht="48" customHeight="1">
      <x:c r="A6" s="31" t="str">
        <x:v>DUP-02</x:v>
      </x:c>
      <x:c r="B6" s="31" t="str">
        <x:v>组内</x:v>
      </x:c>
      <x:c r="C6" s="31" t="str">
        <x:v>脸型分布</x:v>
      </x:c>
      <x:c r="D6" s="31" t="str">
        <x:v>同组至少覆盖4种可辨脸型，不能全员椭圆脸</x:v>
      </x:c>
      <x:c r="E6" s="31" t="str">
        <x:v>查看01表脸型列与最终casting sheet</x:v>
      </x:c>
      <x:c r="F6" s="31" t="str">
        <x:v>高</x:v>
      </x:c>
      <x:c r="G6" s="31" t="str">
        <x:v>是</x:v>
      </x:c>
      <x:c r="H6" s="31" t="str">
        <x:v>未检查</x:v>
      </x:c>
      <x:c r="I6" s="31" t="str"/>
      <x:c r="J6" s="31" t="str"/>
    </x:row>
    <x:row r="7" ht="48" customHeight="1">
      <x:c r="A7" s="31" t="str">
        <x:v>DUP-03</x:v>
      </x:c>
      <x:c r="B7" s="31" t="str">
        <x:v>组内</x:v>
      </x:c>
      <x:c r="C7" s="31" t="str">
        <x:v>年龄梯度</x:v>
      </x:c>
      <x:c r="D7" s="31" t="str">
        <x:v>G01/G02/G04/G05年龄层不能集中在同一十岁区间</x:v>
      </x:c>
      <x:c r="E7" s="31" t="str">
        <x:v>逐槽位核对年龄与皱纹/鬓灰表现</x:v>
      </x:c>
      <x:c r="F7" s="31" t="str">
        <x:v>高</x:v>
      </x:c>
      <x:c r="G7" s="31" t="str">
        <x:v>是</x:v>
      </x:c>
      <x:c r="H7" s="31" t="str">
        <x:v>未检查</x:v>
      </x:c>
      <x:c r="I7" s="31" t="str"/>
      <x:c r="J7" s="31" t="str"/>
    </x:row>
    <x:row r="8" ht="48" customHeight="1">
      <x:c r="A8" s="31" t="str">
        <x:v>DUP-04</x:v>
      </x:c>
      <x:c r="B8" s="31" t="str">
        <x:v>组内</x:v>
      </x:c>
      <x:c r="C8" s="31" t="str">
        <x:v>身高与体态</x:v>
      </x:c>
      <x:c r="D8" s="31" t="str">
        <x:v>至少3种身高等级、4种体态组合；轮廓不可复制</x:v>
      </x:c>
      <x:c r="E8" s="31" t="str">
        <x:v>剪影叠放比对</x:v>
      </x:c>
      <x:c r="F8" s="31" t="str">
        <x:v>高</x:v>
      </x:c>
      <x:c r="G8" s="31" t="str">
        <x:v>是</x:v>
      </x:c>
      <x:c r="H8" s="31" t="str">
        <x:v>未检查</x:v>
      </x:c>
      <x:c r="I8" s="31" t="str"/>
      <x:c r="J8" s="31" t="str"/>
    </x:row>
    <x:row r="9" ht="48" customHeight="1">
      <x:c r="A9" s="31" t="str">
        <x:v>DUP-05</x:v>
      </x:c>
      <x:c r="B9" s="31" t="str">
        <x:v>跨组</x:v>
      </x:c>
      <x:c r="C9" s="31" t="str">
        <x:v>发式与胡须</x:v>
      </x:c>
      <x:c r="D9" s="31" t="str">
        <x:v>高髻/低髻/整髻/束发及胡须状态分散，不能批量同款</x:v>
      </x:c>
      <x:c r="E9" s="31" t="str">
        <x:v>头部轮廓联系表</x:v>
      </x:c>
      <x:c r="F9" s="31" t="str">
        <x:v>中</x:v>
      </x:c>
      <x:c r="G9" s="31" t="str">
        <x:v>否</x:v>
      </x:c>
      <x:c r="H9" s="31" t="str">
        <x:v>未检查</x:v>
      </x:c>
      <x:c r="I9" s="31" t="str"/>
      <x:c r="J9" s="31" t="str"/>
    </x:row>
    <x:row r="10" ht="48" customHeight="1">
      <x:c r="A10" s="31" t="str">
        <x:v>DUP-06</x:v>
      </x:c>
      <x:c r="B10" s="31" t="str">
        <x:v>跨组</x:v>
      </x:c>
      <x:c r="C10" s="31" t="str">
        <x:v>服装轮廓</x:v>
      </x:c>
      <x:c r="D10" s="31" t="str">
        <x:v>同色系可统一时代，但领口、袖长、腰带、层数和衣摆需有差异</x:v>
      </x:c>
      <x:c r="E10" s="31" t="str">
        <x:v>服装状态并排检查</x:v>
      </x:c>
      <x:c r="F10" s="31" t="str">
        <x:v>高</x:v>
      </x:c>
      <x:c r="G10" s="31" t="str">
        <x:v>是</x:v>
      </x:c>
      <x:c r="H10" s="31" t="str">
        <x:v>未检查</x:v>
      </x:c>
      <x:c r="I10" s="31" t="str"/>
      <x:c r="J10" s="31" t="str"/>
    </x:row>
    <x:row r="11" ht="48" customHeight="1">
      <x:c r="A11" s="31" t="str">
        <x:v>DUP-07</x:v>
      </x:c>
      <x:c r="B11" s="31" t="str">
        <x:v>组内</x:v>
      </x:c>
      <x:c r="C11" s="31" t="str">
        <x:v>颜色聚类</x:v>
      </x:c>
      <x:c r="D11" s="31" t="str">
        <x:v>保持组内调色统一，同时避免六人完全同色同亮度</x:v>
      </x:c>
      <x:c r="E11" s="31" t="str">
        <x:v>提取主色块并排</x:v>
      </x:c>
      <x:c r="F11" s="31" t="str">
        <x:v>中</x:v>
      </x:c>
      <x:c r="G11" s="31" t="str">
        <x:v>否</x:v>
      </x:c>
      <x:c r="H11" s="31" t="str">
        <x:v>未检查</x:v>
      </x:c>
      <x:c r="I11" s="31" t="str"/>
      <x:c r="J11" s="31" t="str"/>
    </x:row>
    <x:row r="12" ht="48" customHeight="1">
      <x:c r="A12" s="31" t="str">
        <x:v>DUP-08</x:v>
      </x:c>
      <x:c r="B12" s="31" t="str">
        <x:v>组内</x:v>
      </x:c>
      <x:c r="C12" s="31" t="str">
        <x:v>道具唯一主人</x:v>
      </x:c>
      <x:c r="D12" s="31" t="str">
        <x:v>同一张casting sheet内盾、剑、戈、量器等不应复制到每个人</x:v>
      </x:c>
      <x:c r="E12" s="31" t="str">
        <x:v>按01表关键道具列逐人核对</x:v>
      </x:c>
      <x:c r="F12" s="31" t="str">
        <x:v>高</x:v>
      </x:c>
      <x:c r="G12" s="31" t="str">
        <x:v>是</x:v>
      </x:c>
      <x:c r="H12" s="31" t="str">
        <x:v>未检查</x:v>
      </x:c>
      <x:c r="I12" s="31" t="str"/>
      <x:c r="J12" s="31" t="str"/>
    </x:row>
    <x:row r="13" ht="48" customHeight="1">
      <x:c r="A13" s="31" t="str">
        <x:v>ACT-01</x:v>
      </x:c>
      <x:c r="B13" s="31" t="str">
        <x:v>全部</x:v>
      </x:c>
      <x:c r="C13" s="31" t="str">
        <x:v>视线差异</x:v>
      </x:c>
      <x:c r="D13" s="31" t="str">
        <x:v>除剧情要求外不直视镜头；同层人物视线不可完全一致</x:v>
      </x:c>
      <x:c r="E13" s="31" t="str">
        <x:v>静帧目线标注</x:v>
      </x:c>
      <x:c r="F13" s="31" t="str">
        <x:v>高</x:v>
      </x:c>
      <x:c r="G13" s="31" t="str">
        <x:v>是</x:v>
      </x:c>
      <x:c r="H13" s="31" t="str">
        <x:v>未检查</x:v>
      </x:c>
      <x:c r="I13" s="31" t="str"/>
      <x:c r="J13" s="31" t="str"/>
    </x:row>
    <x:row r="14" ht="48" customHeight="1">
      <x:c r="A14" s="31" t="str">
        <x:v>ACT-02</x:v>
      </x:c>
      <x:c r="B14" s="31" t="str">
        <x:v>G01</x:v>
      </x:c>
      <x:c r="C14" s="31" t="str">
        <x:v>等待而非阅兵</x:v>
      </x:c>
      <x:c r="D14" s="31" t="str">
        <x:v>站姿、重心和武器角度不整齐，不齐步、不列现代方阵</x:v>
      </x:c>
      <x:c r="E14" s="31" t="str">
        <x:v>S02-01/02试镜</x:v>
      </x:c>
      <x:c r="F14" s="31" t="str">
        <x:v>致命</x:v>
      </x:c>
      <x:c r="G14" s="31" t="str">
        <x:v>是</x:v>
      </x:c>
      <x:c r="H14" s="31" t="str">
        <x:v>未检查</x:v>
      </x:c>
      <x:c r="I14" s="31" t="str"/>
      <x:c r="J14" s="31" t="str"/>
    </x:row>
    <x:row r="15" ht="48" customHeight="1">
      <x:c r="A15" s="31" t="str">
        <x:v>ACT-03</x:v>
      </x:c>
      <x:c r="B15" s="31" t="str">
        <x:v>G02</x:v>
      </x:c>
      <x:c r="C15" s="31" t="str">
        <x:v>动作分层</x:v>
      </x:c>
      <x:c r="D15" s="31" t="str">
        <x:v>前景举杯、中景交谈、背景添火/穿行；不可全员同步欢呼</x:v>
      </x:c>
      <x:c r="E15" s="31" t="str">
        <x:v>三层分开生成后合成</x:v>
      </x:c>
      <x:c r="F15" s="31" t="str">
        <x:v>致命</x:v>
      </x:c>
      <x:c r="G15" s="31" t="str">
        <x:v>是</x:v>
      </x:c>
      <x:c r="H15" s="31" t="str">
        <x:v>未检查</x:v>
      </x:c>
      <x:c r="I15" s="31" t="str"/>
      <x:c r="J15" s="31" t="str"/>
    </x:row>
    <x:row r="16" ht="48" customHeight="1">
      <x:c r="A16" s="31" t="str">
        <x:v>ACT-04</x:v>
      </x:c>
      <x:c r="B16" s="31" t="str">
        <x:v>G03</x:v>
      </x:c>
      <x:c r="C16" s="31" t="str">
        <x:v>礼仪距离</x:v>
      </x:c>
      <x:c r="D16" s="31" t="str">
        <x:v>使者与随从距离、递匣高度、双手关系符合克制礼仪</x:v>
      </x:c>
      <x:c r="E16" s="31" t="str">
        <x:v>三人距离图+递匣手势板</x:v>
      </x:c>
      <x:c r="F16" s="31" t="str">
        <x:v>致命</x:v>
      </x:c>
      <x:c r="G16" s="31" t="str">
        <x:v>是</x:v>
      </x:c>
      <x:c r="H16" s="31" t="str">
        <x:v>未检查</x:v>
      </x:c>
      <x:c r="I16" s="31" t="str"/>
      <x:c r="J16" s="31" t="str"/>
    </x:row>
    <x:row r="17" ht="48" customHeight="1">
      <x:c r="A17" s="31" t="str">
        <x:v>ACT-05</x:v>
      </x:c>
      <x:c r="B17" s="31" t="str">
        <x:v>G04</x:v>
      </x:c>
      <x:c r="C17" s="31" t="str">
        <x:v>劳动重量感</x:v>
      </x:c>
      <x:c r="D17" s="31" t="str">
        <x:v>搬、扎、推、筛均有真实关节受力；多人传袋时肩膝下沉</x:v>
      </x:c>
      <x:c r="E17" s="31" t="str">
        <x:v>接触点逐帧检查</x:v>
      </x:c>
      <x:c r="F17" s="31" t="str">
        <x:v>致命</x:v>
      </x:c>
      <x:c r="G17" s="31" t="str">
        <x:v>是</x:v>
      </x:c>
      <x:c r="H17" s="31" t="str">
        <x:v>未检查</x:v>
      </x:c>
      <x:c r="I17" s="31" t="str"/>
      <x:c r="J17" s="31" t="str"/>
    </x:row>
    <x:row r="18" ht="48" customHeight="1">
      <x:c r="A18" s="31" t="str">
        <x:v>ACT-06</x:v>
      </x:c>
      <x:c r="B18" s="31" t="str">
        <x:v>G05</x:v>
      </x:c>
      <x:c r="C18" s="31" t="str">
        <x:v>交易表演</x:v>
      </x:c>
      <x:c r="D18" s="31" t="str">
        <x:v>看货、测量、记录、确认、交付；无握手、签纸合同和夸张叫卖</x:v>
      </x:c>
      <x:c r="E18" s="31" t="str">
        <x:v>S05-08/09/10试镜</x:v>
      </x:c>
      <x:c r="F18" s="31" t="str">
        <x:v>高</x:v>
      </x:c>
      <x:c r="G18" s="31" t="str">
        <x:v>是</x:v>
      </x:c>
      <x:c r="H18" s="31" t="str">
        <x:v>未检查</x:v>
      </x:c>
      <x:c r="I18" s="31" t="str"/>
      <x:c r="J18" s="31" t="str"/>
    </x:row>
    <x:row r="19" ht="48" customHeight="1">
      <x:c r="A19" s="31" t="str">
        <x:v>ACT-07</x:v>
      </x:c>
      <x:c r="B19" s="31" t="str">
        <x:v>G06</x:v>
      </x:c>
      <x:c r="C19" s="31" t="str">
        <x:v>局部出现</x:v>
      </x:c>
      <x:c r="D19" s="31" t="str">
        <x:v>每次只一双手或一个不可辨剪影进入；不生成清晰群像</x:v>
      </x:c>
      <x:c r="E19" s="31" t="str">
        <x:v>终幕构图遮挡测试</x:v>
      </x:c>
      <x:c r="F19" s="31" t="str">
        <x:v>致命</x:v>
      </x:c>
      <x:c r="G19" s="31" t="str">
        <x:v>是</x:v>
      </x:c>
      <x:c r="H19" s="31" t="str">
        <x:v>未检查</x:v>
      </x:c>
      <x:c r="I19" s="31" t="str"/>
      <x:c r="J19" s="31" t="str"/>
    </x:row>
    <x:row r="20" ht="48" customHeight="1">
      <x:c r="A20" s="31" t="str">
        <x:v>HIS-01</x:v>
      </x:c>
      <x:c r="B20" s="31" t="str">
        <x:v>G01–G05</x:v>
      </x:c>
      <x:c r="C20" s="31" t="str">
        <x:v>先秦时代</x:v>
      </x:c>
      <x:c r="D20" s="31" t="str">
        <x:v>无唐宋明清帽冠、后世甲胄、纸张、玻璃、现代印字</x:v>
      </x:c>
      <x:c r="E20" s="31" t="str">
        <x:v>与服装/道具基线交叉审核</x:v>
      </x:c>
      <x:c r="F20" s="31" t="str">
        <x:v>致命</x:v>
      </x:c>
      <x:c r="G20" s="31" t="str">
        <x:v>是</x:v>
      </x:c>
      <x:c r="H20" s="31" t="str">
        <x:v>未检查</x:v>
      </x:c>
      <x:c r="I20" s="31" t="str"/>
      <x:c r="J20" s="31" t="str"/>
    </x:row>
    <x:row r="21" ht="48" customHeight="1">
      <x:c r="A21" s="31" t="str">
        <x:v>HIS-02</x:v>
      </x:c>
      <x:c r="B21" s="31" t="str">
        <x:v>G06</x:v>
      </x:c>
      <x:c r="C21" s="31" t="str">
        <x:v>后世但年代模糊</x:v>
      </x:c>
      <x:c r="D21" s="31" t="str">
        <x:v>不得套先秦六人模板；也不得出现手机、塑料袋、品牌和现代包装</x:v>
      </x:c>
      <x:c r="E21" s="31" t="str">
        <x:v>手/剪影/供物逐格检查</x:v>
      </x:c>
      <x:c r="F21" s="31" t="str">
        <x:v>致命</x:v>
      </x:c>
      <x:c r="G21" s="31" t="str">
        <x:v>是</x:v>
      </x:c>
      <x:c r="H21" s="31" t="str">
        <x:v>未检查</x:v>
      </x:c>
      <x:c r="I21" s="31" t="str"/>
      <x:c r="J21" s="31" t="str"/>
    </x:row>
    <x:row r="22" ht="48" customHeight="1">
      <x:c r="A22" s="31" t="str">
        <x:v>MAT-01</x:v>
      </x:c>
      <x:c r="B22" s="31" t="str">
        <x:v>全部</x:v>
      </x:c>
      <x:c r="C22" s="31" t="str">
        <x:v>皮肤与手</x:v>
      </x:c>
      <x:c r="D22" s="31" t="str">
        <x:v>肤质、劳作痕迹、年龄纹理自然；无塑料皮肤、畸形手、多指</x:v>
      </x:c>
      <x:c r="E22" s="31" t="str">
        <x:v>面部与手部100%放大</x:v>
      </x:c>
      <x:c r="F22" s="31" t="str">
        <x:v>致命</x:v>
      </x:c>
      <x:c r="G22" s="31" t="str">
        <x:v>是</x:v>
      </x:c>
      <x:c r="H22" s="31" t="str">
        <x:v>未检查</x:v>
      </x:c>
      <x:c r="I22" s="31" t="str"/>
      <x:c r="J22" s="31" t="str"/>
    </x:row>
    <x:row r="23" ht="48" customHeight="1">
      <x:c r="A23" s="31" t="str">
        <x:v>MAT-02</x:v>
      </x:c>
      <x:c r="B23" s="31" t="str">
        <x:v>G01</x:v>
      </x:c>
      <x:c r="C23" s="31" t="str">
        <x:v>雨湿连续</x:v>
      </x:c>
      <x:c r="D23" s="31" t="str">
        <x:v>衣物吸水区域、泥点、装备重量一致；不随机变干</x:v>
      </x:c>
      <x:c r="E23" s="31" t="str">
        <x:v>雨湿版本联系表</x:v>
      </x:c>
      <x:c r="F23" s="31" t="str">
        <x:v>高</x:v>
      </x:c>
      <x:c r="G23" s="31" t="str">
        <x:v>是</x:v>
      </x:c>
      <x:c r="H23" s="31" t="str">
        <x:v>未检查</x:v>
      </x:c>
      <x:c r="I23" s="31" t="str"/>
      <x:c r="J23" s="31" t="str"/>
    </x:row>
    <x:row r="24" ht="48" customHeight="1">
      <x:c r="A24" s="31" t="str">
        <x:v>SYS-01</x:v>
      </x:c>
      <x:c r="B24" s="31" t="str">
        <x:v>全部</x:v>
      </x:c>
      <x:c r="C24" s="31" t="str">
        <x:v>Canonical Tag</x:v>
      </x:c>
      <x:c r="D24" s="31" t="str">
        <x:v>每个入镜人物必须绑定唯一tag、seed/参考图和版本，禁止无标签临时群演</x:v>
      </x:c>
      <x:c r="E24" s="31" t="str">
        <x:v>资产台账与文件名抽查</x:v>
      </x:c>
      <x:c r="F24" s="31" t="str">
        <x:v>致命</x:v>
      </x:c>
      <x:c r="G24" s="31" t="str">
        <x:v>是</x:v>
      </x:c>
      <x:c r="H24" s="31" t="str">
        <x:v>未检查</x:v>
      </x:c>
      <x:c r="I24" s="31" t="str"/>
      <x:c r="J24" s="31" t="str"/>
    </x:row>
    <x:row r="25" ht="48" customHeight="1">
      <x:c r="A25" s="31" t="str">
        <x:v>SYS-02</x:v>
      </x:c>
      <x:c r="B25" s="31" t="str">
        <x:v>全部</x:v>
      </x:c>
      <x:c r="C25" s="31" t="str">
        <x:v>镜像与左右</x:v>
      </x:c>
      <x:c r="D25" s="31" t="str">
        <x:v>盾/剑/袖口、疤痕等左右标记不得被自动镜像</x:v>
      </x:c>
      <x:c r="E25" s="31" t="str">
        <x:v>正反视图叠加检查</x:v>
      </x:c>
      <x:c r="F25" s="31" t="str">
        <x:v>高</x:v>
      </x:c>
      <x:c r="G25" s="31" t="str">
        <x:v>是</x:v>
      </x:c>
      <x:c r="H25" s="31" t="str">
        <x:v>未检查</x:v>
      </x:c>
      <x:c r="I25" s="31" t="str"/>
      <x:c r="J25" s="31" t="str"/>
    </x:row>
    <x:row r="26" ht="48" customHeight="1">
      <x:c r="A26" s="32" t="str">
        <x:v>SYS-03</x:v>
      </x:c>
      <x:c r="B26" s="32" t="str">
        <x:v>全部</x:v>
      </x:c>
      <x:c r="C26" s="32" t="str">
        <x:v>跨镜头复用</x:v>
      </x:c>
      <x:c r="D26" s="32" t="str">
        <x:v>同一tag在相邻镜头保持脸、发、服装和身高比例</x:v>
      </x:c>
      <x:c r="E26" s="32" t="str">
        <x:v>镜头覆盖表逐段比对</x:v>
      </x:c>
      <x:c r="F26" s="32" t="str">
        <x:v>致命</x:v>
      </x:c>
      <x:c r="G26" s="32" t="str">
        <x:v>是</x:v>
      </x:c>
      <x:c r="H26" s="32" t="str">
        <x:v>未检查</x:v>
      </x:c>
      <x:c r="I26" s="32" t="str"/>
      <x:c r="J26" s="32" t="str"/>
    </x:row>
  </x:sheetData>
  <x:mergeCells>
    <x:mergeCell ref="A1:J1"/>
    <x:mergeCell ref="A2:J2"/>
  </x:mergeCells>
  <x:conditionalFormatting sqref="H5:H26">
    <x:cfRule type="containsText" dxfId="15" priority="1" operator="containsText" text="已通过"/>
    <x:cfRule type="containsText" dxfId="16" priority="2" operator="containsText" text="进行中"/>
    <x:cfRule type="containsText" dxfId="17" priority="3" operator="containsText" text="待导演确认"/>
    <x:cfRule type="containsText" dxfId="18" priority="4" operator="containsText" text="需重做"/>
    <x:cfRule type="containsText" dxfId="19" priority="5" operator="containsText" text="阻塞"/>
  </x:conditionalFormatting>
  <x:dataValidations count="1">
    <x:dataValidation type="list" sqref="H5:H26">
      <x:formula1>"未开始,进行中,待导演确认,未检查,已通过,需重做,阻塞"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e26deaa26143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9" hidden="0" customWidth="1"/>
    <x:col min="4" max="4" width="11" hidden="0" customWidth="1"/>
    <x:col min="5" max="5" width="22" hidden="0" customWidth="1"/>
    <x:col min="6" max="6" width="23" hidden="0" customWidth="1"/>
    <x:col min="7" max="7" width="26" hidden="0" customWidth="1"/>
    <x:col min="8" max="8" width="15" hidden="0" customWidth="1"/>
    <x:col min="9" max="9" width="13" hidden="0" customWidth="1"/>
    <x:col min="10" max="10" width="18" hidden="0" customWidth="1"/>
    <x:col min="11" max="11" width="28" hidden="0" customWidth="1"/>
    <x:col min="12" max="12" width="11" hidden="0" customWidth="1"/>
  </x:cols>
  <x:sheetData>
    <x:row r="1" ht="34" customHeight="1">
      <x:c r="A1" s="3" t="str">
        <x:v>群演与功能角色镜头映射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G01–G05 的显式调用来自逐镜资产栏；G06 为终幕逻辑继承资产，已单独标注，避免与显式标签混淆。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9" t="str">
        <x:v>组别</x:v>
      </x:c>
      <x:c r="B4" s="20" t="str">
        <x:v>镜号</x:v>
      </x:c>
      <x:c r="C4" s="20" t="str">
        <x:v>幕</x:v>
      </x:c>
      <x:c r="D4" s="20" t="str">
        <x:v>引用类型</x:v>
      </x:c>
      <x:c r="E4" s="20" t="str">
        <x:v>画面功能</x:v>
      </x:c>
      <x:c r="F4" s="20" t="str">
        <x:v>建议槽位</x:v>
      </x:c>
      <x:c r="G4" s="20" t="str">
        <x:v>动作</x:v>
      </x:c>
      <x:c r="H4" s="20" t="str">
        <x:v>景别/层级</x:v>
      </x:c>
      <x:c r="I4" s="20" t="str">
        <x:v>环境</x:v>
      </x:c>
      <x:c r="J4" s="20" t="str">
        <x:v>道具</x:v>
      </x:c>
      <x:c r="K4" s="20" t="str">
        <x:v>主要风险</x:v>
      </x:c>
      <x:c r="L4" s="21" t="str">
        <x:v>状态</x:v>
      </x:c>
    </x:row>
    <x:row r="5" ht="48" customHeight="1">
      <x:c r="A5" s="30" t="str">
        <x:v>G01</x:v>
      </x:c>
      <x:c r="B5" s="30" t="str">
        <x:v>S02-01</x:v>
      </x:c>
      <x:c r="C5" s="30" t="str">
        <x:v>第二幕</x:v>
      </x:c>
      <x:c r="D5" s="30" t="str">
        <x:v>显式</x:v>
      </x:c>
      <x:c r="E5" s="30" t="str">
        <x:v>会稽雨城等待</x:v>
      </x:c>
      <x:c r="F5" s="30" t="str">
        <x:v>G01-01/03/05</x:v>
      </x:c>
      <x:c r="G5" s="30" t="str">
        <x:v>雨中微小换重心</x:v>
      </x:c>
      <x:c r="H5" s="30" t="str">
        <x:v>中远景</x:v>
      </x:c>
      <x:c r="I5" s="30" t="str">
        <x:v>E02</x:v>
      </x:c>
      <x:c r="J5" s="30" t="str">
        <x:v>无</x:v>
      </x:c>
      <x:c r="K5" s="30" t="str">
        <x:v>同步列队/甲胄时代错误</x:v>
      </x:c>
      <x:c r="L5" s="30" t="str">
        <x:v>未开始</x:v>
      </x:c>
    </x:row>
    <x:row r="6" ht="48" customHeight="1">
      <x:c r="A6" s="31" t="str">
        <x:v>G01</x:v>
      </x:c>
      <x:c r="B6" s="31" t="str">
        <x:v>S02-02</x:v>
      </x:c>
      <x:c r="C6" s="31" t="str">
        <x:v>第二幕</x:v>
      </x:c>
      <x:c r="D6" s="31" t="str">
        <x:v>显式</x:v>
      </x:c>
      <x:c r="E6" s="31" t="str">
        <x:v>层次化士卒等待</x:v>
      </x:c>
      <x:c r="F6" s="31" t="str">
        <x:v>G01-02/03/05</x:v>
      </x:c>
      <x:c r="G6" s="31" t="str">
        <x:v>握剑、靠柱、盾缘滴水</x:v>
      </x:c>
      <x:c r="H6" s="31" t="str">
        <x:v>前中后景</x:v>
      </x:c>
      <x:c r="I6" s="31" t="str">
        <x:v>E02</x:v>
      </x:c>
      <x:c r="J6" s="31" t="str">
        <x:v>P05/P06</x:v>
      </x:c>
      <x:c r="K6" s="31" t="str">
        <x:v>多人脸复制/手握武器</x:v>
      </x:c>
      <x:c r="L6" s="31" t="str">
        <x:v>未开始</x:v>
      </x:c>
    </x:row>
    <x:row r="7" ht="48" customHeight="1">
      <x:c r="A7" s="31" t="str">
        <x:v>G02</x:v>
      </x:c>
      <x:c r="B7" s="31" t="str">
        <x:v>S03-01</x:v>
      </x:c>
      <x:c r="C7" s="31" t="str">
        <x:v>第三幕</x:v>
      </x:c>
      <x:c r="D7" s="31" t="str">
        <x:v>显式</x:v>
      </x:c>
      <x:c r="E7" s="31" t="str">
        <x:v>庆功三层人群</x:v>
      </x:c>
      <x:c r="F7" s="31" t="str">
        <x:v>G02-01/03/05/06</x:v>
      </x:c>
      <x:c r="G7" s="31" t="str">
        <x:v>举杯、交谈、添火错峰</x:v>
      </x:c>
      <x:c r="H7" s="31" t="str">
        <x:v>前中后景</x:v>
      </x:c>
      <x:c r="I7" s="31" t="str">
        <x:v>E04</x:v>
      </x:c>
      <x:c r="J7" s="31" t="str">
        <x:v>陶杯/火盆</x:v>
      </x:c>
      <x:c r="K7" s="31" t="str">
        <x:v>全员同步欢呼</x:v>
      </x:c>
      <x:c r="L7" s="31" t="str">
        <x:v>未开始</x:v>
      </x:c>
    </x:row>
    <x:row r="8" ht="48" customHeight="1">
      <x:c r="A8" s="31" t="str">
        <x:v>G02</x:v>
      </x:c>
      <x:c r="B8" s="31" t="str">
        <x:v>S03-02</x:v>
      </x:c>
      <x:c r="C8" s="31" t="str">
        <x:v>第三幕</x:v>
      </x:c>
      <x:c r="D8" s="31" t="str">
        <x:v>显式</x:v>
      </x:c>
      <x:c r="E8" s="31" t="str">
        <x:v>FL45身后暖虚景</x:v>
      </x:c>
      <x:c r="F8" s="31" t="str">
        <x:v>G02-02/03/04</x:v>
      </x:c>
      <x:c r="G8" s="31" t="str">
        <x:v>独立小动作</x:v>
      </x:c>
      <x:c r="H8" s="31" t="str">
        <x:v>背景虚化</x:v>
      </x:c>
      <x:c r="I8" s="31" t="str">
        <x:v>E04</x:v>
      </x:c>
      <x:c r="J8" s="31" t="str">
        <x:v>无</x:v>
      </x:c>
      <x:c r="K8" s="31" t="str">
        <x:v>背景复制脸抢主体</x:v>
      </x:c>
      <x:c r="L8" s="31" t="str">
        <x:v>未开始</x:v>
      </x:c>
    </x:row>
    <x:row r="9" ht="48" customHeight="1">
      <x:c r="A9" s="31" t="str">
        <x:v>G03</x:v>
      </x:c>
      <x:c r="B9" s="31" t="str">
        <x:v>S04-03</x:v>
      </x:c>
      <x:c r="C9" s="31" t="str">
        <x:v>第四幕</x:v>
      </x:c>
      <x:c r="D9" s="31" t="str">
        <x:v>显式</x:v>
      </x:c>
      <x:c r="E9" s="31" t="str">
        <x:v>使者进入齐地院落</x:v>
      </x:c>
      <x:c r="F9" s="31" t="str">
        <x:v>G03-01/02/03</x:v>
      </x:c>
      <x:c r="G9" s="31" t="str">
        <x:v>停在礼貌距离、托匣</x:v>
      </x:c>
      <x:c r="H9" s="31" t="str">
        <x:v>中景</x:v>
      </x:c>
      <x:c r="I9" s="31" t="str">
        <x:v>E05</x:v>
      </x:c>
      <x:c r="J9" s="31" t="str">
        <x:v>P10/P11</x:v>
      </x:c>
      <x:c r="K9" s="31" t="str">
        <x:v>三人同脸/六人模板</x:v>
      </x:c>
      <x:c r="L9" s="31" t="str">
        <x:v>未开始</x:v>
      </x:c>
    </x:row>
    <x:row r="10" ht="48" customHeight="1">
      <x:c r="A10" s="31" t="str">
        <x:v>G03</x:v>
      </x:c>
      <x:c r="B10" s="31" t="str">
        <x:v>S04-04</x:v>
      </x:c>
      <x:c r="C10" s="31" t="str">
        <x:v>第四幕</x:v>
      </x:c>
      <x:c r="D10" s="31" t="str">
        <x:v>显式</x:v>
      </x:c>
      <x:c r="E10" s="31" t="str">
        <x:v>印匣特写背景</x:v>
      </x:c>
      <x:c r="F10" s="31" t="str">
        <x:v>G03-01</x:v>
      </x:c>
      <x:c r="G10" s="31" t="str">
        <x:v>使者背景静候</x:v>
      </x:c>
      <x:c r="H10" s="31" t="str">
        <x:v>浅景深背景</x:v>
      </x:c>
      <x:c r="I10" s="31" t="str">
        <x:v>E05继承</x:v>
      </x:c>
      <x:c r="J10" s="31" t="str">
        <x:v>P10/P11</x:v>
      </x:c>
      <x:c r="K10" s="31" t="str">
        <x:v>背景脸漂移/印匣比例</x:v>
      </x:c>
      <x:c r="L10" s="31" t="str">
        <x:v>未开始</x:v>
      </x:c>
    </x:row>
    <x:row r="11" ht="48" customHeight="1">
      <x:c r="A11" s="31" t="str">
        <x:v>G03</x:v>
      </x:c>
      <x:c r="B11" s="31" t="str">
        <x:v>S04-06</x:v>
      </x:c>
      <x:c r="C11" s="31" t="str">
        <x:v>第四幕</x:v>
      </x:c>
      <x:c r="D11" s="31" t="str">
        <x:v>显式</x:v>
      </x:c>
      <x:c r="E11" s="31" t="str">
        <x:v>双手接回印匣</x:v>
      </x:c>
      <x:c r="F11" s="31" t="str">
        <x:v>G03-01</x:v>
      </x:c>
      <x:c r="G11" s="31" t="str">
        <x:v>双手接匣、短暂目光</x:v>
      </x:c>
      <x:c r="H11" s="31" t="str">
        <x:v>双人中景</x:v>
      </x:c>
      <x:c r="I11" s="31" t="str">
        <x:v>E05继承</x:v>
      </x:c>
      <x:c r="J11" s="31" t="str">
        <x:v>P10/P11</x:v>
      </x:c>
      <x:c r="K11" s="31" t="str">
        <x:v>双人双手粘连</x:v>
      </x:c>
      <x:c r="L11" s="31" t="str">
        <x:v>未开始</x:v>
      </x:c>
    </x:row>
    <x:row r="12" ht="48" customHeight="1">
      <x:c r="A12" s="31" t="str">
        <x:v>G04</x:v>
      </x:c>
      <x:c r="B12" s="31" t="str">
        <x:v>S04-01</x:v>
      </x:c>
      <x:c r="C12" s="31" t="str">
        <x:v>第四幕</x:v>
      </x:c>
      <x:c r="D12" s="31" t="str">
        <x:v>显式</x:v>
      </x:c>
      <x:c r="E12" s="31" t="str">
        <x:v>齐地劳动</x:v>
      </x:c>
      <x:c r="F12" s="31" t="str">
        <x:v>G04-01/02</x:v>
      </x:c>
      <x:c r="G12" s="31" t="str">
        <x:v>清沟/整理工具</x:v>
      </x:c>
      <x:c r="H12" s="31" t="str">
        <x:v>宽景中部</x:v>
      </x:c>
      <x:c r="I12" s="31" t="str">
        <x:v>E05</x:v>
      </x:c>
      <x:c r="J12" s="31" t="str">
        <x:v>P12</x:v>
      </x:c>
      <x:c r="K12" s="31" t="str">
        <x:v>现代农场/动作同步</x:v>
      </x:c>
      <x:c r="L12" s="31" t="str">
        <x:v>未开始</x:v>
      </x:c>
    </x:row>
    <x:row r="13" ht="48" customHeight="1">
      <x:c r="A13" s="31" t="str">
        <x:v>G04</x:v>
      </x:c>
      <x:c r="B13" s="31" t="str">
        <x:v>S04-07</x:v>
      </x:c>
      <x:c r="C13" s="31" t="str">
        <x:v>第四幕</x:v>
      </x:c>
      <x:c r="D13" s="31" t="str">
        <x:v>显式</x:v>
      </x:c>
      <x:c r="E13" s="31" t="str">
        <x:v>物资交付</x:v>
      </x:c>
      <x:c r="F13" s="31" t="str">
        <x:v>G04-01/02/06</x:v>
      </x:c>
      <x:c r="G13" s="31" t="str">
        <x:v>接粮筐/布帛/陶器</x:v>
      </x:c>
      <x:c r="H13" s="31" t="str">
        <x:v>近景三切</x:v>
      </x:c>
      <x:c r="I13" s="31" t="str">
        <x:v>E05</x:v>
      </x:c>
      <x:c r="J13" s="31" t="str">
        <x:v>P07/P16/P17</x:v>
      </x:c>
      <x:c r="K13" s="31" t="str">
        <x:v>多人手/跪地感恩</x:v>
      </x:c>
      <x:c r="L13" s="31" t="str">
        <x:v>未开始</x:v>
      </x:c>
    </x:row>
    <x:row r="14" ht="48" customHeight="1">
      <x:c r="A14" s="31" t="str">
        <x:v>G04</x:v>
      </x:c>
      <x:c r="B14" s="31" t="str">
        <x:v>S05-01</x:v>
      </x:c>
      <x:c r="C14" s="31" t="str">
        <x:v>第五幕</x:v>
      </x:c>
      <x:c r="D14" s="31" t="str">
        <x:v>显式</x:v>
      </x:c>
      <x:c r="E14" s="31" t="str">
        <x:v>陶地三路流线</x:v>
      </x:c>
      <x:c r="F14" s="31" t="str">
        <x:v>G04-03/05</x:v>
      </x:c>
      <x:c r="G14" s="31" t="str">
        <x:v>舟、车、行人错峰</x:v>
      </x:c>
      <x:c r="H14" s="31" t="str">
        <x:v>宽景</x:v>
      </x:c>
      <x:c r="I14" s="31" t="str">
        <x:v>E06</x:v>
      </x:c>
      <x:c r="J14" s="31" t="str">
        <x:v>P09/P15</x:v>
      </x:c>
      <x:c r="K14" s="31" t="str">
        <x:v>运动同时过多</x:v>
      </x:c>
      <x:c r="L14" s="31" t="str">
        <x:v>未开始</x:v>
      </x:c>
    </x:row>
    <x:row r="15" ht="48" customHeight="1">
      <x:c r="A15" s="31" t="str">
        <x:v>G04</x:v>
      </x:c>
      <x:c r="B15" s="31" t="str">
        <x:v>S05-03</x:v>
      </x:c>
      <x:c r="C15" s="31" t="str">
        <x:v>第五幕</x:v>
      </x:c>
      <x:c r="D15" s="31" t="str">
        <x:v>显式</x:v>
      </x:c>
      <x:c r="E15" s="31" t="str">
        <x:v>重袋卸舟</x:v>
      </x:c>
      <x:c r="F15" s="31" t="str">
        <x:v>G04-03/04/06</x:v>
      </x:c>
      <x:c r="G15" s="31" t="str">
        <x:v>三人有重量接力</x:v>
      </x:c>
      <x:c r="H15" s="31" t="str">
        <x:v>中近景</x:v>
      </x:c>
      <x:c r="I15" s="31" t="str">
        <x:v>E06</x:v>
      </x:c>
      <x:c r="J15" s="31" t="str">
        <x:v>P09/P07/P20</x:v>
      </x:c>
      <x:c r="K15" s="31" t="str">
        <x:v>袋漂浮/手数错误</x:v>
      </x:c>
      <x:c r="L15" s="31" t="str">
        <x:v>未开始</x:v>
      </x:c>
    </x:row>
    <x:row r="16" ht="48" customHeight="1">
      <x:c r="A16" s="31" t="str">
        <x:v>G04</x:v>
      </x:c>
      <x:c r="B16" s="31" t="str">
        <x:v>S05-04</x:v>
      </x:c>
      <x:c r="C16" s="31" t="str">
        <x:v>第五幕</x:v>
      </x:c>
      <x:c r="D16" s="31" t="str">
        <x:v>显式</x:v>
      </x:c>
      <x:c r="E16" s="31" t="str">
        <x:v>木车转运</x:v>
      </x:c>
      <x:c r="F16" s="31" t="str">
        <x:v>G04-05</x:v>
      </x:c>
      <x:c r="G16" s="31" t="str">
        <x:v>车轮、绳结、货物受震</x:v>
      </x:c>
      <x:c r="H16" s="31" t="str">
        <x:v>低机位</x:v>
      </x:c>
      <x:c r="I16" s="31" t="str">
        <x:v>E06</x:v>
      </x:c>
      <x:c r="J16" s="31" t="str">
        <x:v>P07/P15/P20</x:v>
      </x:c>
      <x:c r="K16" s="31" t="str">
        <x:v>现代轮轴/牛腿错误</x:v>
      </x:c>
      <x:c r="L16" s="31" t="str">
        <x:v>未开始</x:v>
      </x:c>
    </x:row>
    <x:row r="17" ht="48" customHeight="1">
      <x:c r="A17" s="31" t="str">
        <x:v>G04</x:v>
      </x:c>
      <x:c r="B17" s="31" t="str">
        <x:v>S05-06</x:v>
      </x:c>
      <x:c r="C17" s="31" t="str">
        <x:v>第五幕</x:v>
      </x:c>
      <x:c r="D17" s="31" t="str">
        <x:v>显式</x:v>
      </x:c>
      <x:c r="E17" s="31" t="str">
        <x:v>夏水加固舟缆</x:v>
      </x:c>
      <x:c r="F17" s="31" t="str">
        <x:v>G04-03/04</x:v>
      </x:c>
      <x:c r="G17" s="31" t="str">
        <x:v>收紧绳索、动作小</x:v>
      </x:c>
      <x:c r="H17" s="31" t="str">
        <x:v>中景</x:v>
      </x:c>
      <x:c r="I17" s="31" t="str">
        <x:v>E06</x:v>
      </x:c>
      <x:c r="J17" s="31" t="str">
        <x:v>P09/P20</x:v>
      </x:c>
      <x:c r="K17" s="31" t="str">
        <x:v>灾难化/群体乱动</x:v>
      </x:c>
      <x:c r="L17" s="31" t="str">
        <x:v>未开始</x:v>
      </x:c>
    </x:row>
    <x:row r="18" ht="48" customHeight="1">
      <x:c r="A18" s="31" t="str">
        <x:v>G04</x:v>
      </x:c>
      <x:c r="B18" s="31" t="str">
        <x:v>S05-08</x:v>
      </x:c>
      <x:c r="C18" s="31" t="str">
        <x:v>第五幕</x:v>
      </x:c>
      <x:c r="D18" s="31" t="str">
        <x:v>显式</x:v>
      </x:c>
      <x:c r="E18" s="31" t="str">
        <x:v>冬市有序等待</x:v>
      </x:c>
      <x:c r="F18" s="31" t="str">
        <x:v>G04-02/06</x:v>
      </x:c>
      <x:c r="G18" s="31" t="str">
        <x:v>确认量器、队列前移一步</x:v>
      </x:c>
      <x:c r="H18" s="31" t="str">
        <x:v>中景</x:v>
      </x:c>
      <x:c r="I18" s="31" t="str">
        <x:v>E07</x:v>
      </x:c>
      <x:c r="J18" s="31" t="str">
        <x:v>P07/P14</x:v>
      </x:c>
      <x:c r="K18" s="31" t="str">
        <x:v>贫困煽情/复制脸</x:v>
      </x:c>
      <x:c r="L18" s="31" t="str">
        <x:v>未开始</x:v>
      </x:c>
    </x:row>
    <x:row r="19" ht="48" customHeight="1">
      <x:c r="A19" s="31" t="str">
        <x:v>G04</x:v>
      </x:c>
      <x:c r="B19" s="31" t="str">
        <x:v>S06-02</x:v>
      </x:c>
      <x:c r="C19" s="31" t="str">
        <x:v>第六幕</x:v>
      </x:c>
      <x:c r="D19" s="31" t="str">
        <x:v>显式</x:v>
      </x:c>
      <x:c r="E19" s="31" t="str">
        <x:v>抬横闩开仓</x:v>
      </x:c>
      <x:c r="F19" s="31" t="str">
        <x:v>G04-01/03/05</x:v>
      </x:c>
      <x:c r="G19" s="31" t="str">
        <x:v>协力抬闩、门内开</x:v>
      </x:c>
      <x:c r="H19" s="31" t="str">
        <x:v>中远景</x:v>
      </x:c>
      <x:c r="I19" s="31" t="str">
        <x:v>E08</x:v>
      </x:c>
      <x:c r="J19" s="31" t="str">
        <x:v>P08</x:v>
      </x:c>
      <x:c r="K19" s="31" t="str">
        <x:v>手臂穿门/同步僵硬</x:v>
      </x:c>
      <x:c r="L19" s="31" t="str">
        <x:v>未开始</x:v>
      </x:c>
    </x:row>
    <x:row r="20" ht="48" customHeight="1">
      <x:c r="A20" s="31" t="str">
        <x:v>G04</x:v>
      </x:c>
      <x:c r="B20" s="31" t="str">
        <x:v>S06-04</x:v>
      </x:c>
      <x:c r="C20" s="31" t="str">
        <x:v>第六幕</x:v>
      </x:c>
      <x:c r="D20" s="31" t="str">
        <x:v>显式</x:v>
      </x:c>
      <x:c r="E20" s="31" t="str">
        <x:v>重袋接力</x:v>
      </x:c>
      <x:c r="F20" s="31" t="str">
        <x:v>G04-01/03/05/06</x:v>
      </x:c>
      <x:c r="G20" s="31" t="str">
        <x:v>每次接触均下沉</x:v>
      </x:c>
      <x:c r="H20" s="31" t="str">
        <x:v>中近景</x:v>
      </x:c>
      <x:c r="I20" s="31" t="str">
        <x:v>E08</x:v>
      </x:c>
      <x:c r="J20" s="31" t="str">
        <x:v>P07</x:v>
      </x:c>
      <x:c r="K20" s="31" t="str">
        <x:v>四人手粘连/无重量</x:v>
      </x:c>
      <x:c r="L20" s="31" t="str">
        <x:v>未开始</x:v>
      </x:c>
    </x:row>
    <x:row r="21" ht="48" customHeight="1">
      <x:c r="A21" s="31" t="str">
        <x:v>G04</x:v>
      </x:c>
      <x:c r="B21" s="31" t="str">
        <x:v>S06-05</x:v>
      </x:c>
      <x:c r="C21" s="31" t="str">
        <x:v>第六幕</x:v>
      </x:c>
      <x:c r="D21" s="31" t="str">
        <x:v>显式</x:v>
      </x:c>
      <x:c r="E21" s="31" t="str">
        <x:v>车入生活街巷</x:v>
      </x:c>
      <x:c r="F21" s="31" t="str">
        <x:v>G04-05/06</x:v>
      </x:c>
      <x:c r="G21" s="31" t="str">
        <x:v>人群为车让路</x:v>
      </x:c>
      <x:c r="H21" s="31" t="str">
        <x:v>低位跟车</x:v>
      </x:c>
      <x:c r="I21" s="31" t="str">
        <x:v>E08→E09</x:v>
      </x:c>
      <x:c r="J21" s="31" t="str">
        <x:v>P07/P15/P16</x:v>
      </x:c>
      <x:c r="K21" s="31" t="str">
        <x:v>跨场景复制/车速不匹配</x:v>
      </x:c>
      <x:c r="L21" s="31" t="str">
        <x:v>未开始</x:v>
      </x:c>
    </x:row>
    <x:row r="22" ht="48" customHeight="1">
      <x:c r="A22" s="31" t="str">
        <x:v>G04</x:v>
      </x:c>
      <x:c r="B22" s="31" t="str">
        <x:v>S06-06</x:v>
      </x:c>
      <x:c r="C22" s="31" t="str">
        <x:v>第六幕</x:v>
      </x:c>
      <x:c r="D22" s="31" t="str">
        <x:v>显式</x:v>
      </x:c>
      <x:c r="E22" s="31" t="str">
        <x:v>生产与生活蒙太奇</x:v>
      </x:c>
      <x:c r="F22" s="31" t="str">
        <x:v>G04-01/02/05/06</x:v>
      </x:c>
      <x:c r="G22" s="31" t="str">
        <x:v>磨粮/织布/修车/入灶</x:v>
      </x:c>
      <x:c r="H22" s="31" t="str">
        <x:v>手部近景</x:v>
      </x:c>
      <x:c r="I22" s="31" t="str">
        <x:v>E09</x:v>
      </x:c>
      <x:c r="J22" s="31" t="str">
        <x:v>P07/P16/P17</x:v>
      </x:c>
      <x:c r="K22" s="31" t="str">
        <x:v>复杂动作强做一条</x:v>
      </x:c>
      <x:c r="L22" s="31" t="str">
        <x:v>未开始</x:v>
      </x:c>
    </x:row>
    <x:row r="23" ht="48" customHeight="1">
      <x:c r="A23" s="31" t="str">
        <x:v>G05</x:v>
      </x:c>
      <x:c r="B23" s="31" t="str">
        <x:v>S05-01</x:v>
      </x:c>
      <x:c r="C23" s="31" t="str">
        <x:v>第五幕</x:v>
      </x:c>
      <x:c r="D23" s="31" t="str">
        <x:v>显式</x:v>
      </x:c>
      <x:c r="E23" s="31" t="str">
        <x:v>陶地商旅流线</x:v>
      </x:c>
      <x:c r="F23" s="31" t="str">
        <x:v>G05-04/05</x:v>
      </x:c>
      <x:c r="G23" s="31" t="str">
        <x:v>步行或随车错峰</x:v>
      </x:c>
      <x:c r="H23" s="31" t="str">
        <x:v>宽景小比例</x:v>
      </x:c>
      <x:c r="I23" s="31" t="str">
        <x:v>E06</x:v>
      </x:c>
      <x:c r="J23" s="31" t="str">
        <x:v>P09/P15</x:v>
      </x:c>
      <x:c r="K23" s="31" t="str">
        <x:v>夸张异域/拥堵</x:v>
      </x:c>
      <x:c r="L23" s="31" t="str">
        <x:v>未开始</x:v>
      </x:c>
    </x:row>
    <x:row r="24" ht="48" customHeight="1">
      <x:c r="A24" s="31" t="str">
        <x:v>G05</x:v>
      </x:c>
      <x:c r="B24" s="31" t="str">
        <x:v>S05-08</x:v>
      </x:c>
      <x:c r="C24" s="31" t="str">
        <x:v>第五幕</x:v>
      </x:c>
      <x:c r="D24" s="31" t="str">
        <x:v>显式</x:v>
      </x:c>
      <x:c r="E24" s="31" t="str">
        <x:v>冬市交易对象</x:v>
      </x:c>
      <x:c r="F24" s="31" t="str">
        <x:v>G05-01/05</x:v>
      </x:c>
      <x:c r="G24" s="31" t="str">
        <x:v>查看半满量器</x:v>
      </x:c>
      <x:c r="H24" s="31" t="str">
        <x:v>中景</x:v>
      </x:c>
      <x:c r="I24" s="31" t="str">
        <x:v>E07</x:v>
      </x:c>
      <x:c r="J24" s="31" t="str">
        <x:v>P07/P14</x:v>
      </x:c>
      <x:c r="K24" s="31" t="str">
        <x:v>乞讨化/神情夸张</x:v>
      </x:c>
      <x:c r="L24" s="31" t="str">
        <x:v>未开始</x:v>
      </x:c>
    </x:row>
    <x:row r="25" ht="48" customHeight="1">
      <x:c r="A25" s="31" t="str">
        <x:v>G05</x:v>
      </x:c>
      <x:c r="B25" s="31" t="str">
        <x:v>S05-09</x:v>
      </x:c>
      <x:c r="C25" s="31" t="str">
        <x:v>第五幕</x:v>
      </x:c>
      <x:c r="D25" s="31" t="str">
        <x:v>显式</x:v>
      </x:c>
      <x:c r="E25" s="31" t="str">
        <x:v>衡器公平确认</x:v>
      </x:c>
      <x:c r="F25" s="31" t="str">
        <x:v>G05-06</x:v>
      </x:c>
      <x:c r="G25" s="31" t="str">
        <x:v>看秤、点头一次</x:v>
      </x:c>
      <x:c r="H25" s="31" t="str">
        <x:v>近景对面</x:v>
      </x:c>
      <x:c r="I25" s="31" t="str">
        <x:v>E07</x:v>
      </x:c>
      <x:c r="J25" s="31" t="str">
        <x:v>P04/P13/P14</x:v>
      </x:c>
      <x:c r="K25" s="31" t="str">
        <x:v>西式天平/手碰秤</x:v>
      </x:c>
      <x:c r="L25" s="31" t="str">
        <x:v>未开始</x:v>
      </x:c>
    </x:row>
    <x:row r="26" ht="48" customHeight="1">
      <x:c r="A26" s="31" t="str">
        <x:v>G05</x:v>
      </x:c>
      <x:c r="B26" s="31" t="str">
        <x:v>S05-10</x:v>
      </x:c>
      <x:c r="C26" s="31" t="str">
        <x:v>第五幕</x:v>
      </x:c>
      <x:c r="D26" s="31" t="str">
        <x:v>显式</x:v>
      </x:c>
      <x:c r="E26" s="31" t="str">
        <x:v>商旅重新上路</x:v>
      </x:c>
      <x:c r="F26" s="31" t="str">
        <x:v>G05-04/05/06</x:v>
      </x:c>
      <x:c r="G26" s="31" t="str">
        <x:v>扎绳、推车、回身致意</x:v>
      </x:c>
      <x:c r="H26" s="31" t="str">
        <x:v>中远景</x:v>
      </x:c>
      <x:c r="I26" s="31" t="str">
        <x:v>E07</x:v>
      </x:c>
      <x:c r="J26" s="31" t="str">
        <x:v>P04/P15/P20</x:v>
      </x:c>
      <x:c r="K26" s="31" t="str">
        <x:v>握手/同步回头</x:v>
      </x:c>
      <x:c r="L26" s="31" t="str">
        <x:v>未开始</x:v>
      </x:c>
    </x:row>
    <x:row r="27" ht="48" customHeight="1">
      <x:c r="A27" s="31" t="str">
        <x:v>G06</x:v>
      </x:c>
      <x:c r="B27" s="31" t="str">
        <x:v>S07-01</x:v>
      </x:c>
      <x:c r="C27" s="31" t="str">
        <x:v>第七幕</x:v>
      </x:c>
      <x:c r="D27" s="31" t="str">
        <x:v>逻辑继承</x:v>
      </x:c>
      <x:c r="E27" s="31" t="str">
        <x:v>香客手放供物</x:v>
      </x:c>
      <x:c r="F27" s="31" t="str">
        <x:v>G06-H01或H03</x:v>
      </x:c>
      <x:c r="G27" s="31" t="str">
        <x:v>一双手入画后退出</x:v>
      </x:c>
      <x:c r="H27" s="31" t="str">
        <x:v>画面下缘</x:v>
      </x:c>
      <x:c r="I27" s="31" t="str">
        <x:v>E01</x:v>
      </x:c>
      <x:c r="J27" s="31" t="str">
        <x:v>供物</x:v>
      </x:c>
      <x:c r="K27" s="31" t="str">
        <x:v>出现清晰现代人/多双手</x:v>
      </x:c>
      <x:c r="L27" s="31" t="str">
        <x:v>未开始</x:v>
      </x:c>
    </x:row>
    <x:row r="28" ht="48" customHeight="1">
      <x:c r="A28" s="32" t="str">
        <x:v>G06</x:v>
      </x:c>
      <x:c r="B28" s="32" t="str">
        <x:v>S07-02</x:v>
      </x:c>
      <x:c r="C28" s="32" t="str">
        <x:v>第七幕</x:v>
      </x:c>
      <x:c r="D28" s="32" t="str">
        <x:v>逻辑继承</x:v>
      </x:c>
      <x:c r="E28" s="32" t="str">
        <x:v>供物与种子匹配切</x:v>
      </x:c>
      <x:c r="F28" s="32" t="str">
        <x:v>G06-H02</x:v>
      </x:c>
      <x:c r="G28" s="32" t="str">
        <x:v>摆放小撮谷种</x:v>
      </x:c>
      <x:c r="H28" s="32" t="str">
        <x:v>俯斜近景</x:v>
      </x:c>
      <x:c r="I28" s="32" t="str">
        <x:v>E01</x:v>
      </x:c>
      <x:c r="J28" s="32" t="str">
        <x:v>P18</x:v>
      </x:c>
      <x:c r="K28" s="32" t="str">
        <x:v>现代包装/连续魔法变形</x:v>
      </x:c>
      <x:c r="L28" s="32" t="str">
        <x:v>未开始</x:v>
      </x:c>
    </x:row>
  </x:sheetData>
  <x:mergeCells>
    <x:mergeCell ref="A1:L1"/>
    <x:mergeCell ref="A2:L2"/>
  </x:mergeCells>
  <x:conditionalFormatting sqref="L5:L28">
    <x:cfRule type="containsText" dxfId="20" priority="1" operator="containsText" text="已通过"/>
    <x:cfRule type="containsText" dxfId="21" priority="2" operator="containsText" text="进行中"/>
    <x:cfRule type="containsText" dxfId="22" priority="3" operator="containsText" text="待导演确认"/>
    <x:cfRule type="containsText" dxfId="23" priority="4" operator="containsText" text="需重做"/>
    <x:cfRule type="containsText" dxfId="24" priority="5" operator="containsText" text="阻塞"/>
  </x:conditionalFormatting>
  <x:dataValidations count="1">
    <x:dataValidation type="list" sqref="L5:L28">
      <x:formula1>"未开始,进行中,待导演确认,未检查,已通过,需重做,阻塞"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42f3d5b8064b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26" hidden="0" customWidth="1"/>
    <x:col min="4" max="4" width="14" hidden="0" customWidth="1"/>
    <x:col min="5" max="5" width="36" hidden="0" customWidth="1"/>
    <x:col min="6" max="6" width="28" hidden="0" customWidth="1"/>
    <x:col min="7" max="7" width="8" hidden="0" customWidth="1"/>
    <x:col min="8" max="8" width="11" hidden="0" customWidth="1"/>
    <x:col min="9" max="9" width="32" hidden="0" customWidth="1"/>
  </x:cols>
  <x:sheetData>
    <x:row r="1" ht="34" customHeight="1">
      <x:c r="A1" s="3" t="str">
        <x:v>群演资产制作批次与闸门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顺序以“先单体身份、再动作板、最后群体组合”为核心。即使可与核心范蠡身份链并行，也必须服从统一的服装与材质基线。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9" t="str">
        <x:v>顺序</x:v>
      </x:c>
      <x:c r="B4" s="20" t="str">
        <x:v>任务ID</x:v>
      </x:c>
      <x:c r="C4" s="20" t="str">
        <x:v>任务</x:v>
      </x:c>
      <x:c r="D4" s="20" t="str">
        <x:v>组别</x:v>
      </x:c>
      <x:c r="E4" s="20" t="str">
        <x:v>交付物</x:v>
      </x:c>
      <x:c r="F4" s="20" t="str">
        <x:v>前置依赖</x:v>
      </x:c>
      <x:c r="G4" s="20" t="str">
        <x:v>优先级</x:v>
      </x:c>
      <x:c r="H4" s="20" t="str">
        <x:v>状态</x:v>
      </x:c>
      <x:c r="I4" s="21" t="str">
        <x:v>闸门/备注</x:v>
      </x:c>
    </x:row>
    <x:row r="5" ht="48" customHeight="1">
      <x:c r="A5" s="30" t="n">
        <x:v>1</x:v>
      </x:c>
      <x:c r="B5" s="30" t="str">
        <x:v>BASE-01</x:v>
      </x:c>
      <x:c r="C5" s="30" t="str">
        <x:v>统一先秦服装/材质基线</x:v>
      </x:c>
      <x:c r="D5" s="30" t="str">
        <x:v>G01–G05</x:v>
      </x:c>
      <x:c r="E5" s="30" t="str">
        <x:v>服装、麻/苎麻、皮革/漆革、肤色与风化样板</x:v>
      </x:c>
      <x:c r="F5" s="30" t="str">
        <x:v>导演统筹/服装材质分支</x:v>
      </x:c>
      <x:c r="G5" s="30" t="str">
        <x:v>P0</x:v>
      </x:c>
      <x:c r="H5" s="30" t="str">
        <x:v>未开始</x:v>
      </x:c>
      <x:c r="I5" s="30" t="str">
        <x:v>完成后才能批量选角</x:v>
      </x:c>
    </x:row>
    <x:row r="6" ht="48" customHeight="1">
      <x:c r="A6" s="31" t="n">
        <x:v>2</x:v>
      </x:c>
      <x:c r="B6" s="31" t="str">
        <x:v>G01-ROOT</x:v>
      </x:c>
      <x:c r="C6" s="31" t="str">
        <x:v>生成6名越军单人母版</x:v>
      </x:c>
      <x:c r="D6" s="31" t="str">
        <x:v>G01</x:v>
      </x:c>
      <x:c r="E6" s="31" t="str">
        <x:v>每人正面+45°，无雨干态</x:v>
      </x:c>
      <x:c r="F6" s="31" t="str">
        <x:v>BASE-01</x:v>
      </x:c>
      <x:c r="G6" s="31" t="str">
        <x:v>P0</x:v>
      </x:c>
      <x:c r="H6" s="31" t="str">
        <x:v>未开始</x:v>
      </x:c>
      <x:c r="I6" s="31" t="str">
        <x:v>先去重，再做雨湿版</x:v>
      </x:c>
    </x:row>
    <x:row r="7" ht="48" customHeight="1">
      <x:c r="A7" s="31" t="n">
        <x:v>3</x:v>
      </x:c>
      <x:c r="B7" s="31" t="str">
        <x:v>G04-ROOT</x:v>
      </x:c>
      <x:c r="C7" s="31" t="str">
        <x:v>生成6名劳动角色单人母版</x:v>
      </x:c>
      <x:c r="D7" s="31" t="str">
        <x:v>G04</x:v>
      </x:c>
      <x:c r="E7" s="31" t="str">
        <x:v>职业全身+手部劳作特写</x:v>
      </x:c>
      <x:c r="F7" s="31" t="str">
        <x:v>BASE-01</x:v>
      </x:c>
      <x:c r="G7" s="31" t="str">
        <x:v>P0</x:v>
      </x:c>
      <x:c r="H7" s="31" t="str">
        <x:v>未开始</x:v>
      </x:c>
      <x:c r="I7" s="31" t="str">
        <x:v>复用镜头最多</x:v>
      </x:c>
    </x:row>
    <x:row r="8" ht="48" customHeight="1">
      <x:c r="A8" s="31" t="n">
        <x:v>4</x:v>
      </x:c>
      <x:c r="B8" s="31" t="str">
        <x:v>G03-TRIO</x:v>
      </x:c>
      <x:c r="C8" s="31" t="str">
        <x:v>生成使者与两随从</x:v>
      </x:c>
      <x:c r="D8" s="31" t="str">
        <x:v>G03</x:v>
      </x:c>
      <x:c r="E8" s="31" t="str">
        <x:v>精确三人，不使用六人模板</x:v>
      </x:c>
      <x:c r="F8" s="31" t="str">
        <x:v>BASE-01、P10/P11尺度</x:v>
      </x:c>
      <x:c r="G8" s="31" t="str">
        <x:v>P0</x:v>
      </x:c>
      <x:c r="H8" s="31" t="str">
        <x:v>未开始</x:v>
      </x:c>
      <x:c r="I8" s="31" t="str">
        <x:v>先单人后距离图</x:v>
      </x:c>
    </x:row>
    <x:row r="9" ht="48" customHeight="1">
      <x:c r="A9" s="31" t="n">
        <x:v>5</x:v>
      </x:c>
      <x:c r="B9" s="31" t="str">
        <x:v>G06-PARTIAL</x:v>
      </x:c>
      <x:c r="C9" s="31" t="str">
        <x:v>生成三组手与三组剪影</x:v>
      </x:c>
      <x:c r="D9" s="31" t="str">
        <x:v>G06</x:v>
      </x:c>
      <x:c r="E9" s="31" t="str">
        <x:v>不显示清晰脸，年代模糊</x:v>
      </x:c>
      <x:c r="F9" s="31" t="str">
        <x:v>后世庙线Style Base</x:v>
      </x:c>
      <x:c r="G9" s="31" t="str">
        <x:v>P0</x:v>
      </x:c>
      <x:c r="H9" s="31" t="str">
        <x:v>未开始</x:v>
      </x:c>
      <x:c r="I9" s="31" t="str">
        <x:v>独立于先秦群演</x:v>
      </x:c>
    </x:row>
    <x:row r="10" ht="48" customHeight="1">
      <x:c r="A10" s="31" t="n">
        <x:v>6</x:v>
      </x:c>
      <x:c r="B10" s="31" t="str">
        <x:v>G02-ROOT</x:v>
      </x:c>
      <x:c r="C10" s="31" t="str">
        <x:v>生成庆功混合角色</x:v>
      </x:c>
      <x:c r="D10" s="31" t="str">
        <x:v>G02</x:v>
      </x:c>
      <x:c r="E10" s="31" t="str">
        <x:v>官吏2+士卒2+劳作者2</x:v>
      </x:c>
      <x:c r="F10" s="31" t="str">
        <x:v>BASE-01</x:v>
      </x:c>
      <x:c r="G10" s="31" t="str">
        <x:v>P1</x:v>
      </x:c>
      <x:c r="H10" s="31" t="str">
        <x:v>未开始</x:v>
      </x:c>
      <x:c r="I10" s="31" t="str">
        <x:v>先单人，后分层组合</x:v>
      </x:c>
    </x:row>
    <x:row r="11" ht="48" customHeight="1">
      <x:c r="A11" s="31" t="n">
        <x:v>7</x:v>
      </x:c>
      <x:c r="B11" s="31" t="str">
        <x:v>G05-ROOT</x:v>
      </x:c>
      <x:c r="C11" s="31" t="str">
        <x:v>生成陶地商旅角色</x:v>
      </x:c>
      <x:c r="D11" s="31" t="str">
        <x:v>G05</x:v>
      </x:c>
      <x:c r="E11" s="31" t="str">
        <x:v>按货类6人，地域差异克制</x:v>
      </x:c>
      <x:c r="F11" s="31" t="str">
        <x:v>BASE-01、P13/P14</x:v>
      </x:c>
      <x:c r="G11" s="31" t="str">
        <x:v>P1</x:v>
      </x:c>
      <x:c r="H11" s="31" t="str">
        <x:v>未开始</x:v>
      </x:c>
      <x:c r="I11" s="31" t="str">
        <x:v>禁止夸张异域</x:v>
      </x:c>
    </x:row>
    <x:row r="12" ht="48" customHeight="1">
      <x:c r="A12" s="31" t="n">
        <x:v>8</x:v>
      </x:c>
      <x:c r="B12" s="31" t="str">
        <x:v>DUP-ROUND1</x:v>
      </x:c>
      <x:c r="C12" s="31" t="str">
        <x:v>首轮身份指纹去重</x:v>
      </x:c>
      <x:c r="D12" s="31" t="str">
        <x:v>G01–G06</x:v>
      </x:c>
      <x:c r="E12" s="31" t="str">
        <x:v>检查人脸、脸型、年龄、轮廓、发式、服装</x:v>
      </x:c>
      <x:c r="F12" s="31" t="str">
        <x:v>全部单体母版</x:v>
      </x:c>
      <x:c r="G12" s="31" t="str">
        <x:v>P0</x:v>
      </x:c>
      <x:c r="H12" s="31" t="str">
        <x:v>未开始</x:v>
      </x:c>
      <x:c r="I12" s="31" t="str">
        <x:v>任何致命项不过即回炉</x:v>
      </x:c>
    </x:row>
    <x:row r="13" ht="48" customHeight="1">
      <x:c r="A13" s="31" t="n">
        <x:v>9</x:v>
      </x:c>
      <x:c r="B13" s="31" t="str">
        <x:v>VAR-G01-WET</x:v>
      </x:c>
      <x:c r="C13" s="31" t="str">
        <x:v>制作G01雨湿装备变体</x:v>
      </x:c>
      <x:c r="D13" s="31" t="str">
        <x:v>G01</x:v>
      </x:c>
      <x:c r="E13" s="31" t="str">
        <x:v>固定泥点、吸水区域和装备重量</x:v>
      </x:c>
      <x:c r="F13" s="31" t="str">
        <x:v>G01-ROOT通过</x:v>
      </x:c>
      <x:c r="G13" s="31" t="str">
        <x:v>P1</x:v>
      </x:c>
      <x:c r="H13" s="31" t="str">
        <x:v>未开始</x:v>
      </x:c>
      <x:c r="I13" s="31" t="str">
        <x:v>服务S02-01/02</x:v>
      </x:c>
    </x:row>
    <x:row r="14" ht="48" customHeight="1">
      <x:c r="A14" s="31" t="n">
        <x:v>10</x:v>
      </x:c>
      <x:c r="B14" s="31" t="str">
        <x:v>ACTION-BOARDS</x:v>
      </x:c>
      <x:c r="C14" s="31" t="str">
        <x:v>制作分组动作板</x:v>
      </x:c>
      <x:c r="D14" s="31" t="str">
        <x:v>G01–G06</x:v>
      </x:c>
      <x:c r="E14" s="31" t="str">
        <x:v>每人一个主动作；重物/递匣/量器单独测试</x:v>
      </x:c>
      <x:c r="F14" s="31" t="str">
        <x:v>DUP-ROUND1通过</x:v>
      </x:c>
      <x:c r="G14" s="31" t="str">
        <x:v>P0</x:v>
      </x:c>
      <x:c r="H14" s="31" t="str">
        <x:v>未开始</x:v>
      </x:c>
      <x:c r="I14" s="31" t="str">
        <x:v>不在群像里解决动作设计</x:v>
      </x:c>
    </x:row>
    <x:row r="15" ht="48" customHeight="1">
      <x:c r="A15" s="31" t="n">
        <x:v>11</x:v>
      </x:c>
      <x:c r="B15" s="31" t="str">
        <x:v>GROUP-COMPOSE</x:v>
      </x:c>
      <x:c r="C15" s="31" t="str">
        <x:v>分层组合群像</x:v>
      </x:c>
      <x:c r="D15" s="31" t="str">
        <x:v>G01/G02/G04/G05</x:v>
      </x:c>
      <x:c r="E15" s="31" t="str">
        <x:v>前中后景分开生成或合成</x:v>
      </x:c>
      <x:c r="F15" s="31" t="str">
        <x:v>ACTION-BOARDS通过</x:v>
      </x:c>
      <x:c r="G15" s="31" t="str">
        <x:v>P1</x:v>
      </x:c>
      <x:c r="H15" s="31" t="str">
        <x:v>未开始</x:v>
      </x:c>
      <x:c r="I15" s="31" t="str">
        <x:v>检查同步和复制</x:v>
      </x:c>
    </x:row>
    <x:row r="16" ht="48" customHeight="1">
      <x:c r="A16" s="32" t="n">
        <x:v>12</x:v>
      </x:c>
      <x:c r="B16" s="32" t="str">
        <x:v>SHOT-PILOT</x:v>
      </x:c>
      <x:c r="C16" s="32" t="str">
        <x:v>代表镜试镜</x:v>
      </x:c>
      <x:c r="D16" s="32" t="str">
        <x:v>G01/G02/G03/G04/G05/G06</x:v>
      </x:c>
      <x:c r="E16" s="32" t="str">
        <x:v>S02-02、S03-01、S04-03、S05-03、S05-09、S07-01</x:v>
      </x:c>
      <x:c r="F16" s="32" t="str">
        <x:v>GROUP-COMPOSE/动作板</x:v>
      </x:c>
      <x:c r="G16" s="32" t="str">
        <x:v>P0</x:v>
      </x:c>
      <x:c r="H16" s="32" t="str">
        <x:v>未开始</x:v>
      </x:c>
      <x:c r="I16" s="32" t="str">
        <x:v>通过后才扩展全部镜头</x:v>
      </x:c>
    </x:row>
  </x:sheetData>
  <x:mergeCells>
    <x:mergeCell ref="A1:I1"/>
    <x:mergeCell ref="A2:I2"/>
  </x:mergeCells>
  <x:conditionalFormatting sqref="H5:H16">
    <x:cfRule type="containsText" dxfId="25" priority="1" operator="containsText" text="已通过"/>
    <x:cfRule type="containsText" dxfId="26" priority="2" operator="containsText" text="进行中"/>
    <x:cfRule type="containsText" dxfId="27" priority="3" operator="containsText" text="待导演确认"/>
    <x:cfRule type="containsText" dxfId="28" priority="4" operator="containsText" text="需重做"/>
    <x:cfRule type="containsText" dxfId="29" priority="5" operator="containsText" text="阻塞"/>
  </x:conditionalFormatting>
  <x:dataValidations count="2">
    <x:dataValidation type="list" sqref="H5:H16">
      <x:formula1>"未开始,进行中,待导演确认,未检查,已通过,需重做,阻塞"</x:formula1>
    </x:dataValidation>
    <x:dataValidation type="list" sqref="G5:G16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349cbb17d743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8" hidden="0" customWidth="1"/>
    <x:col min="3" max="3" width="58" hidden="0" customWidth="1"/>
    <x:col min="4" max="4" width="16" hidden="0" customWidth="1"/>
    <x:col min="5" max="5" width="12" hidden="0" customWidth="1"/>
  </x:cols>
  <x:sheetData>
    <x:row r="1" ht="34" customHeight="1">
      <x:c r="A1" s="3" t="str">
        <x:v>来源、标签规则与导演决策</x:v>
      </x:c>
      <x:c r="B1" s="3"/>
      <x:c r="C1" s="3"/>
      <x:c r="D1" s="3"/>
      <x:c r="E1" s="3"/>
    </x:row>
    <x:row r="2" ht="32" customHeight="1">
      <x:c r="A2" s="7" t="str">
        <x:v>源文档中的文字被视为创作规范；本工作簿将其转换为可执行的数据结构，并明确修正 G03/G06 与通用六人模板的冲突。</x:v>
      </x:c>
      <x:c r="B2" s="7"/>
      <x:c r="C2" s="7"/>
      <x:c r="D2" s="7"/>
      <x:c r="E2" s="7"/>
    </x:row>
    <x:row r="4" ht="34" customHeight="1">
      <x:c r="A4" s="19" t="str">
        <x:v>来源文件</x:v>
      </x:c>
      <x:c r="B4" s="20" t="str">
        <x:v>定位</x:v>
      </x:c>
      <x:c r="C4" s="20" t="str">
        <x:v>本表用途</x:v>
      </x:c>
      <x:c r="D4" s="20" t="str">
        <x:v>权威级别</x:v>
      </x:c>
      <x:c r="E4" s="21" t="str">
        <x:v>读取状态</x:v>
      </x:c>
    </x:row>
    <x:row r="5" ht="48" customHeight="1">
      <x:c r="A5" s="30" t="str">
        <x:v>02_人物角色设定与生成提示词.docx</x:v>
      </x:c>
      <x:c r="B5" s="30" t="str">
        <x:v>第4节 群演与功能角色</x:v>
      </x:c>
      <x:c r="C5" s="30" t="str">
        <x:v>G01–G06身份、服装、动作和原始通用Prompt</x:v>
      </x:c>
      <x:c r="D5" s="30" t="str">
        <x:v>主规范</x:v>
      </x:c>
      <x:c r="E5" s="30" t="str">
        <x:v>已读取</x:v>
      </x:c>
    </x:row>
    <x:row r="6" ht="48" customHeight="1">
      <x:c r="A6" s="31" t="str">
        <x:v>04_服装道具材质与生成提示词.docx</x:v>
      </x:c>
      <x:c r="B6" s="31" t="str">
        <x:v>时代红线、材质母版、P01–P20</x:v>
      </x:c>
      <x:c r="C6" s="31" t="str">
        <x:v>先秦服装材质、兵器、印匣、量器、舟车和供物限制</x:v>
      </x:c>
      <x:c r="D6" s="31" t="str">
        <x:v>交叉规范</x:v>
      </x:c>
      <x:c r="E6" s="31" t="str">
        <x:v>已读取</x:v>
      </x:c>
    </x:row>
    <x:row r="7" ht="48" customHeight="1">
      <x:c r="A7" s="31" t="str">
        <x:v>05_43镜图片关键帧生成提示词.docx</x:v>
      </x:c>
      <x:c r="B7" s="31" t="str">
        <x:v>43镜资产/旁白与构图</x:v>
      </x:c>
      <x:c r="C7" s="31" t="str">
        <x:v>G01–G05显式镜头引用；G06终幕逻辑用途</x:v>
      </x:c>
      <x:c r="D7" s="31" t="str">
        <x:v>镜头映射</x:v>
      </x:c>
      <x:c r="E7" s="31" t="str">
        <x:v>已读取</x:v>
      </x:c>
    </x:row>
    <x:row r="8" ht="48" customHeight="1">
      <x:c r="A8" s="32" t="str">
        <x:v>06_43镜图生视频运动提示词.docx</x:v>
      </x:c>
      <x:c r="B8" s="32" t="str">
        <x:v>43镜人物/环境动作</x:v>
      </x:c>
      <x:c r="C8" s="32" t="str">
        <x:v>群体不同步、重物接触、递匣、让路等运动约束</x:v>
      </x:c>
      <x:c r="D8" s="32" t="str">
        <x:v>运动验收</x:v>
      </x:c>
      <x:c r="E8" s="32" t="str">
        <x:v>已读取</x:v>
      </x:c>
    </x:row>
  </x:sheetData>
  <x:mergeCells>
    <x:mergeCell ref="A1:E1"/>
    <x:mergeCell ref="A2:E2"/>
  </x:mergeCells>
  <x:conditionalFormatting sqref="E5:E8">
    <x:cfRule type="containsText" dxfId="30" priority="1" operator="containsText" text="已通过"/>
    <x:cfRule type="containsText" dxfId="31" priority="2" operator="containsText" text="进行中"/>
    <x:cfRule type="containsText" dxfId="32" priority="3" operator="containsText" text="待导演确认"/>
    <x:cfRule type="containsText" dxfId="33" priority="4" operator="containsText" text="需重做"/>
    <x:cfRule type="containsText" dxfId="34" priority="5" operator="containsText" text="阻塞"/>
  </x:conditionalFormatting>
  <x:dataValidations count="1">
    <x:dataValidation type="list" sqref="E5:E8">
      <x:formula1>"未开始,进行中,待导演确认,未检查,已通过,需重做,阻塞"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50837f993b42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3" t="str">
        <x:v>G01–G06 群演与功能角色分支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输出：casting sheet结构、33个独立槽位、身份指纹、去重/表演验收、镜头映射和制作队列。当前只建立生产台账，不把提示词文本误判为已生成资产。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62" t="str">
        <x:v>指标</x:v>
      </x:c>
      <x:c r="B4" s="63" t="str">
        <x:v>公式结果</x:v>
      </x:c>
      <x:c r="D4" s="74" t="str">
        <x:v>导演锁定规则</x:v>
      </x:c>
      <x:c r="E4" s="74"/>
      <x:c r="F4" s="74"/>
      <x:c r="G4" s="74"/>
      <x:c r="H4" s="74"/>
      <x:c r="I4" s="74"/>
      <x:c r="J4" s="74"/>
    </x:row>
    <x:row r="5" ht="34" customHeight="1">
      <x:c r="A5" s="64" t="str">
        <x:v>分组数</x:v>
      </x:c>
      <x:c r="B5" s="68" t="n">
        <x:f>COUNTA('02_分组生成结构'!A5:A10)</x:f>
        <x:v>6</x:v>
      </x:c>
      <x:c r="D5" s="79" t="str">
        <x:v>01｜G01–G05服从先秦服装/材质基线；G06属于后世框架线，年代刻意模糊。</x:v>
      </x:c>
      <x:c r="E5" s="79"/>
      <x:c r="F5" s="79"/>
      <x:c r="G5" s="79"/>
      <x:c r="H5" s="79"/>
      <x:c r="I5" s="79"/>
      <x:c r="J5" s="79"/>
    </x:row>
    <x:row r="6" ht="34" customHeight="1">
      <x:c r="A6" s="64" t="str">
        <x:v>Casting槽位数</x:v>
      </x:c>
      <x:c r="B6" s="68" t="n">
        <x:f>COUNTA('01_Casting槽位'!B5:B37)</x:f>
        <x:v>33</x:v>
      </x:c>
      <x:c r="D6" s="79" t="str">
        <x:v>02｜每个清晰露脸人物绑定唯一Canonical Tag、参考图、seed/参数和版本。</x:v>
      </x:c>
      <x:c r="E6" s="79"/>
      <x:c r="F6" s="79"/>
      <x:c r="G6" s="79"/>
      <x:c r="H6" s="79"/>
      <x:c r="I6" s="79"/>
      <x:c r="J6" s="79"/>
    </x:row>
    <x:row r="7" ht="34" customHeight="1">
      <x:c r="A7" s="64" t="str">
        <x:v>明确镜头关联数</x:v>
      </x:c>
      <x:c r="B7" s="68" t="n">
        <x:f>COUNTIF('05_镜头映射'!D5:D28,"显式")</x:f>
        <x:v>22</x:v>
      </x:c>
      <x:c r="D7" s="79" t="str">
        <x:v>03｜先生成单体身份，再生成动作板，最后组合群体；禁止直接让模型随机出一群人。</x:v>
      </x:c>
      <x:c r="E7" s="79"/>
      <x:c r="F7" s="79"/>
      <x:c r="G7" s="79"/>
      <x:c r="H7" s="79"/>
      <x:c r="I7" s="79"/>
      <x:c r="J7" s="79"/>
    </x:row>
    <x:row r="8" ht="34" customHeight="1">
      <x:c r="A8" s="64" t="str">
        <x:v>逻辑继承镜头关联数</x:v>
      </x:c>
      <x:c r="B8" s="68" t="n">
        <x:f>COUNTIF('05_镜头映射'!D5:D28,"逻辑继承")</x:f>
        <x:v>2</x:v>
      </x:c>
      <x:c r="D8" s="79" t="str">
        <x:v>04｜G03固定为1名使者+2名随从，不使用通用六人模板。</x:v>
      </x:c>
      <x:c r="E8" s="79"/>
      <x:c r="F8" s="79"/>
      <x:c r="G8" s="79"/>
      <x:c r="H8" s="79"/>
      <x:c r="I8" s="79"/>
      <x:c r="J8" s="79"/>
    </x:row>
    <x:row r="9" ht="34" customHeight="1">
      <x:c r="A9" s="64" t="str">
        <x:v>自动重复指纹数</x:v>
      </x:c>
      <x:c r="B9" s="68" t="n">
        <x:f>COUNTIF('03_身份指纹'!N5:N37,"需重做")</x:f>
        <x:v>0</x:v>
      </x:c>
      <x:c r="D9" s="79" t="str">
        <x:v>05｜G06固定为3组手/供物+3组不可辨剪影，不生成六个清晰古代成人。</x:v>
      </x:c>
      <x:c r="E9" s="79"/>
      <x:c r="F9" s="79"/>
      <x:c r="G9" s="79"/>
      <x:c r="H9" s="79"/>
      <x:c r="I9" s="79"/>
      <x:c r="J9" s="79"/>
    </x:row>
    <x:row r="10" ht="34" customHeight="1">
      <x:c r="A10" s="64" t="str">
        <x:v>未完成阻断项</x:v>
      </x:c>
      <x:c r="B10" s="68" t="n">
        <x:f>COUNTIFS('04_去重验收'!G5:G26,"是",'04_去重验收'!H5:H26,"&lt;&gt;已通过")</x:f>
        <x:v>20</x:v>
      </x:c>
      <x:c r="D10" s="79" t="str">
        <x:v>06｜群体动作分层错峰：不同视线、不同重心、不同开始时间，避免全员同步表演。</x:v>
      </x:c>
      <x:c r="E10" s="79"/>
      <x:c r="F10" s="79"/>
      <x:c r="G10" s="79"/>
      <x:c r="H10" s="79"/>
      <x:c r="I10" s="79"/>
      <x:c r="J10" s="79"/>
    </x:row>
    <x:row r="11" ht="34" customHeight="1">
      <x:c r="A11" s="65" t="str">
        <x:v>群演闸门</x:v>
      </x:c>
      <x:c r="B11" s="71" t="str">
        <x:f>IF(AND(B9=0,B10=0),"通过","未通过")</x:f>
        <x:v>未通过</x:v>
      </x:c>
      <x:c r="D11" s="80" t="str">
        <x:v>07｜任何致命验收项未通过，均不得进入剧情镜头批量生产。</x:v>
      </x:c>
      <x:c r="E11" s="80"/>
      <x:c r="F11" s="80"/>
      <x:c r="G11" s="80"/>
      <x:c r="H11" s="80"/>
      <x:c r="I11" s="80"/>
      <x:c r="J11" s="80"/>
    </x:row>
    <x:row r="13" ht="36" customHeight="1">
      <x:c r="A13" s="84" t="str">
        <x:v>推荐首轮：BASE-01 → G01/G04/G03/G06单体母版 → 身份去重 → 动作板 → 分层群像 → 6镜试片。</x:v>
      </x:c>
      <x:c r="B13" s="84"/>
      <x:c r="C13" s="84"/>
      <x:c r="D13" s="84"/>
      <x:c r="E13" s="84"/>
      <x:c r="F13" s="84"/>
      <x:c r="G13" s="84"/>
      <x:c r="H13" s="84"/>
      <x:c r="I13" s="84"/>
      <x:c r="J13" s="84"/>
    </x:row>
  </x:sheetData>
  <x:mergeCells>
    <x:mergeCell ref="A1:J1"/>
    <x:mergeCell ref="A2:J2"/>
    <x:mergeCell ref="D4:J4"/>
    <x:mergeCell ref="D5:J5"/>
    <x:mergeCell ref="D6:J6"/>
    <x:mergeCell ref="D7:J7"/>
    <x:mergeCell ref="D8:J8"/>
    <x:mergeCell ref="D9:J9"/>
    <x:mergeCell ref="D10:J10"/>
    <x:mergeCell ref="D11:J11"/>
    <x:mergeCell ref="A13:J13"/>
  </x:mergeCells>
  <x:conditionalFormatting sqref="B11:B11">
    <x:cfRule type="expression" dxfId="35" priority="1">
      <x:formula>$B$11="通过"</x:formula>
    </x:cfRule>
    <x:cfRule type="expression" dxfId="36" priority="2">
      <x:formula>$B$11="未通过"</x:formula>
    </x:cfRule>
  </x:conditionalFormatting>
  <x:pageMargins left="0.7" right="0.7" top="0.75" bottom="0.75" header="0.3" footer="0.3"/>
</x:worksheet>
</file>