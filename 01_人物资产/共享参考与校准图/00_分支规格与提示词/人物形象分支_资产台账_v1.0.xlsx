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5218141b904c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总览" sheetId="1" r:id="R8175e27a8de94287"/>
    <x:sheet xmlns:r="http://schemas.openxmlformats.org/officeDocument/2006/relationships" name="01_角色主资产" sheetId="2" r:id="R16388ecbcb984968"/>
    <x:sheet xmlns:r="http://schemas.openxmlformats.org/officeDocument/2006/relationships" name="02_服装状态" sheetId="3" r:id="R6908b0beee324eb0"/>
    <x:sheet xmlns:r="http://schemas.openxmlformats.org/officeDocument/2006/relationships" name="03_表情手势" sheetId="4" r:id="R0a32ee0c1fa84e37"/>
    <x:sheet xmlns:r="http://schemas.openxmlformats.org/officeDocument/2006/relationships" name="04_群演资产" sheetId="5" r:id="R29db16fb94f64c20"/>
    <x:sheet xmlns:r="http://schemas.openxmlformats.org/officeDocument/2006/relationships" name="05_镜头覆盖" sheetId="6" r:id="Rbb176f643a534515"/>
    <x:sheet xmlns:r="http://schemas.openxmlformats.org/officeDocument/2006/relationships" name="06_验收检查" sheetId="7" r:id="R59536d40dd1d4a59"/>
    <x:sheet xmlns:r="http://schemas.openxmlformats.org/officeDocument/2006/relationships" name="07_首批队列" sheetId="8" r:id="R4d520ff4ca9947ea"/>
    <x:sheet xmlns:r="http://schemas.openxmlformats.org/officeDocument/2006/relationships" name="08_来源与裁决" sheetId="9" r:id="R13eb6dd5ddee41c5"/>
    <x:sheet xmlns:r="http://schemas.openxmlformats.org/officeDocument/2006/relationships" name="09_目录映射" sheetId="10" r:id="Re302881eaee544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8"/>
      <x:color rgb="FFFFFFFF"/>
      <x:name val="Microsoft YaHei"/>
    </x:font>
    <x:font>
      <x:sz val="10"/>
      <x:color rgb="FF2E2925"/>
      <x:name val="Microsoft YaHei"/>
    </x:font>
    <x:font>
      <x:b/>
      <x:sz val="10"/>
      <x:color rgb="FFFFFFFF"/>
      <x:name val="Microsoft YaHei"/>
    </x:font>
    <x:font>
      <x:b/>
      <x:sz val="10"/>
      <x:color rgb="FF3B2C24"/>
      <x:name val="Microsoft YaHei"/>
    </x:font>
    <x:font>
      <x:sz val="11"/>
      <x:color rgb="FF2E2925"/>
      <x:name val="Microsoft YaHei"/>
    </x:font>
    <x:font>
      <x:b/>
      <x:sz val="9"/>
      <x:color rgb="FF2E2925"/>
      <x:name val="Microsoft YaHei"/>
    </x:font>
    <x:font>
      <x:sz val="9"/>
      <x:color rgb="FF2E2925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3B2C24"/>
      </x:patternFill>
    </x:fill>
    <x:fill>
      <x:patternFill patternType="solid">
        <x:fgColor rgb="FFF3EDE2"/>
      </x:patternFill>
    </x:fill>
    <x:fill>
      <x:patternFill patternType="solid">
        <x:fgColor rgb="FF9B563A"/>
      </x:patternFill>
    </x:fill>
    <x:fill>
      <x:patternFill patternType="solid">
        <x:fgColor rgb="FFE7EFE4"/>
      </x:patternFill>
    </x:fill>
    <x:fill>
      <x:patternFill patternType="solid">
        <x:fgColor rgb="FFB89B5E"/>
      </x:patternFill>
    </x:fill>
  </x:fills>
  <x:borders count="13">
    <x:border/>
    <x:border>
      <x:left style="thin">
        <x:color rgb="FFD7CEC2"/>
      </x:left>
      <x:top style="thin">
        <x:color rgb="FFD7CEC2"/>
      </x:top>
    </x:border>
    <x:border>
      <x:right style="thin">
        <x:color rgb="FFD7CEC2"/>
      </x:right>
      <x:top style="thin">
        <x:color rgb="FFD7CEC2"/>
      </x:top>
    </x:border>
    <x:border>
      <x:left style="thin">
        <x:color rgb="FFD7CEC2"/>
      </x:left>
    </x:border>
    <x:border>
      <x:right style="thin">
        <x:color rgb="FFD7CEC2"/>
      </x:right>
    </x:border>
    <x:border>
      <x:left style="thin">
        <x:color rgb="FFD7CEC2"/>
      </x:left>
      <x:bottom style="thin">
        <x:color rgb="FFD7CEC2"/>
      </x:bottom>
    </x:border>
    <x:border>
      <x:right style="thin">
        <x:color rgb="FFD7CEC2"/>
      </x:right>
      <x:bottom style="thin">
        <x:color rgb="FFD7CEC2"/>
      </x:bottom>
    </x:border>
    <x:border>
      <x:top style="thin">
        <x:color rgb="FFD7CEC2"/>
      </x:top>
    </x:border>
    <x:border>
      <x:bottom style="thin">
        <x:color rgb="FFD7CEC2"/>
      </x:bottom>
    </x:border>
    <x:border>
      <x:left style="medium">
        <x:color rgb="FF9B563A"/>
      </x:left>
      <x:top style="medium">
        <x:color rgb="FF9B563A"/>
      </x:top>
      <x:bottom style="medium">
        <x:color rgb="FF9B563A"/>
      </x:bottom>
    </x:border>
    <x:border>
      <x:top style="medium">
        <x:color rgb="FF9B563A"/>
      </x:top>
      <x:bottom style="medium">
        <x:color rgb="FF9B563A"/>
      </x:bottom>
    </x:border>
    <x:border>
      <x:right style="medium">
        <x:color rgb="FF9B563A"/>
      </x:right>
      <x:top style="medium">
        <x:color rgb="FF9B563A"/>
      </x:top>
      <x:bottom style="medium">
        <x:color rgb="FF9B563A"/>
      </x:bottom>
    </x:border>
    <x:border>
      <x:top style="thin">
        <x:color rgb="FFD7CEC2"/>
      </x:top>
      <x:bottom style="thin">
        <x:color rgb="FFD7CEC2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horizontal="center"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5" fillId="5" borderId="3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3" fillId="6" borderId="3" xfId="0" applyNumberFormat="1" applyFont="1" applyFill="1" applyBorder="1" applyAlignment="1">
      <x:alignment horizontal="center"/>
    </x:xf>
    <x:xf numFmtId="0" fontId="3" fillId="6" borderId="4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8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horizontal="center" wrapText="1"/>
    </x:xf>
    <x:xf numFmtId="0" fontId="3" fillId="4" borderId="10" xfId="0" applyNumberFormat="1" applyFont="1" applyFill="1" applyBorder="1" applyAlignment="1">
      <x:alignment horizontal="center" wrapText="1"/>
    </x:xf>
    <x:xf numFmtId="0" fontId="3" fillId="4" borderId="11" xfId="0" applyNumberFormat="1" applyFont="1" applyFill="1" applyBorder="1" applyAlignment="1">
      <x:alignment horizont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6" fillId="4" borderId="9" xfId="0" applyNumberFormat="1" applyFont="1" applyFill="1" applyBorder="1" applyAlignment="1">
      <x:alignment horizontal="center" vertical="center" wrapText="1"/>
    </x:xf>
    <x:xf numFmtId="0" fontId="6" fillId="4" borderId="10" xfId="0" applyNumberFormat="1" applyFont="1" applyFill="1" applyBorder="1" applyAlignment="1">
      <x:alignment horizontal="center" vertical="center" wrapText="1"/>
    </x:xf>
    <x:xf numFmtId="0" fontId="6" fillId="4" borderId="1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8" xfId="0" applyNumberFormat="1" applyFont="1" applyFill="1" applyBorder="1"/>
    <x:xf numFmtId="0" fontId="7" fillId="0" borderId="12" xfId="0" applyNumberFormat="1" applyFont="1" applyFill="1" applyBorder="1"/>
    <x:xf numFmtId="0" fontId="7" fillId="0" borderId="8" xfId="0" applyNumberFormat="1" applyFont="1" applyFill="1" applyBorder="1" applyAlignment="1">
      <x:alignment wrapText="1"/>
    </x:xf>
    <x:xf numFmtId="0" fontId="7" fillId="0" borderId="12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vertical="center" wrapText="1"/>
    </x:xf>
    <x:xf numFmtId="0" fontId="7" fillId="0" borderId="12" xfId="0" applyNumberFormat="1" applyFont="1" applyFill="1" applyBorder="1" applyAlignment="1">
      <x:alignment vertical="center" wrapText="1"/>
    </x:xf>
    <x:xf numFmtId="200" fontId="7" fillId="0" borderId="8" xfId="0" applyNumberFormat="1" applyFont="1" applyFill="1" applyBorder="1" applyAlignment="1">
      <x:alignment vertical="center" wrapText="1"/>
    </x:xf>
    <x:xf numFmtId="200" fontId="7" fillId="0" borderId="12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3" fillId="6" borderId="3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4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74">
    <x:dxf>
      <x:font>
        <x:b/>
        <x:color rgb="FF5F7358"/>
      </x:font>
      <x:fill>
        <x:patternFill patternType="solid">
          <x:bgColor rgb="FFE7EFE4"/>
        </x:patternFill>
      </x:fill>
    </x:dxf>
    <x:dxf>
      <x:font>
        <x:b/>
        <x:color rgb="FFC98A36"/>
      </x:font>
      <x:fill>
        <x:patternFill patternType="solid">
          <x:bgColor rgb="FFFAEED9"/>
        </x:patternFill>
      </x:fill>
    </x:dxf>
    <x:dxf>
      <x:font>
        <x:b/>
        <x:color rgb="FFB84A3A"/>
      </x:font>
      <x:fill>
        <x:patternFill patternType="solid">
          <x:bgColor rgb="FFF7E3DF"/>
        </x:patternFill>
      </x:fill>
    </x:dxf>
    <x:dxf>
      <x:font>
        <x:color rgb="FF77736D"/>
      </x:font>
      <x:fill>
        <x:patternFill patternType="solid">
          <x:bgColor rgb="FFF1F0ED"/>
        </x:patternFill>
      </x:fill>
    </x:dxf>
    <x:dxf>
      <x:font>
        <x:color rgb="FF5D7185"/>
      </x:font>
      <x:fill>
        <x:patternFill patternType="solid">
          <x:bgColor rgb="FFE8EEF4"/>
        </x:patternFill>
      </x:fill>
    </x:dxf>
    <x:dxf>
      <x:font>
        <x:b/>
        <x:color rgb="FFB84A3A"/>
      </x:font>
      <x:fill>
        <x:patternFill patternType="solid">
          <x:bgColor rgb="FFF7E3DF"/>
        </x:patternFill>
      </x:fill>
    </x:dxf>
    <x:dxf>
      <x:font>
        <x:b/>
        <x:color rgb="FF7A551E"/>
      </x:font>
      <x:fill>
        <x:patternFill patternType="solid">
          <x:bgColor rgb="FFFAEED9"/>
        </x:patternFill>
      </x:fill>
    </x:dxf>
    <x:dxf>
      <x:font>
        <x:color rgb="FF5D7185"/>
      </x:font>
      <x:fill>
        <x:patternFill patternType="solid">
          <x:bgColor rgb="FFE8EEF4"/>
        </x:patternFill>
      </x:fill>
    </x:dxf>
    <x:dxf>
      <x:font>
        <x:b/>
        <x:color rgb="FF5F7358"/>
      </x:font>
      <x:fill>
        <x:patternFill patternType="solid">
          <x:bgColor rgb="FFE7EFE4"/>
        </x:patternFill>
      </x:fill>
    </x:dxf>
    <x:dxf>
      <x:font>
        <x:b/>
        <x:color rgb="FFC98A36"/>
      </x:font>
      <x:fill>
        <x:patternFill patternType="solid">
          <x:bgColor rgb="FFFAEED9"/>
        </x:patternFill>
      </x:fill>
    </x:dxf>
    <x:dxf>
      <x:font>
        <x:b/>
        <x:color rgb="FFB84A3A"/>
      </x:font>
      <x:fill>
        <x:patternFill patternType="solid">
          <x:bgColor rgb="FFF7E3DF"/>
        </x:patternFill>
      </x:fill>
    </x:dxf>
    <x:dxf>
      <x:font>
        <x:color rgb="FF77736D"/>
      </x:font>
      <x:fill>
        <x:patternFill patternType="solid">
          <x:bgColor rgb="FFF1F0ED"/>
        </x:patternFill>
      </x:fill>
    </x:dxf>
    <x:dxf>
      <x:font>
        <x:color rgb="FF5D7185"/>
      </x:font>
      <x:fill>
        <x:patternFill patternType="solid">
          <x:bgColor rgb="FFE8EEF4"/>
        </x:patternFill>
      </x:fill>
    </x:dxf>
    <x:dxf>
      <x:font>
        <x:b/>
        <x:color rgb="FFB84A3A"/>
      </x:font>
      <x:fill>
        <x:patternFill patternType="solid">
          <x:bgColor rgb="FFF7E3DF"/>
        </x:patternFill>
      </x:fill>
    </x:dxf>
    <x:dxf>
      <x:font>
        <x:b/>
        <x:color rgb="FF7A551E"/>
      </x:font>
      <x:fill>
        <x:patternFill patternType="solid">
          <x:bgColor rgb="FFFAEED9"/>
        </x:patternFill>
      </x:fill>
    </x:dxf>
    <x:dxf>
      <x:font>
        <x:color rgb="FF5D7185"/>
      </x:font>
      <x:fill>
        <x:patternFill patternType="solid">
          <x:bgColor rgb="FFE8EEF4"/>
        </x:patternFill>
      </x:fill>
    </x:dxf>
    <x:dxf>
      <x:font>
        <x:b/>
        <x:color rgb="FF5F7358"/>
      </x:font>
      <x:fill>
        <x:patternFill patternType="solid">
          <x:bgColor rgb="FFE7EFE4"/>
        </x:patternFill>
      </x:fill>
    </x:dxf>
    <x:dxf>
      <x:font>
        <x:b/>
        <x:color rgb="FFC98A36"/>
      </x:font>
      <x:fill>
        <x:patternFill patternType="solid">
          <x:bgColor rgb="FFFAEED9"/>
        </x:patternFill>
      </x:fill>
    </x:dxf>
    <x:dxf>
      <x:font>
        <x:b/>
        <x:color rgb="FFB84A3A"/>
      </x:font>
      <x:fill>
        <x:patternFill patternType="solid">
          <x:bgColor rgb="FFF7E3DF"/>
        </x:patternFill>
      </x:fill>
    </x:dxf>
    <x:dxf>
      <x:font>
        <x:color rgb="FF77736D"/>
      </x:font>
      <x:fill>
        <x:patternFill patternType="solid">
          <x:bgColor rgb="FFF1F0ED"/>
        </x:patternFill>
      </x:fill>
    </x:dxf>
    <x:dxf>
      <x:font>
        <x:color rgb="FF5D7185"/>
      </x:font>
      <x:fill>
        <x:patternFill patternType="solid">
          <x:bgColor rgb="FFE8EEF4"/>
        </x:patternFill>
      </x:fill>
    </x:dxf>
    <x:dxf>
      <x:font>
        <x:b/>
        <x:color rgb="FFB84A3A"/>
      </x:font>
      <x:fill>
        <x:patternFill patternType="solid">
          <x:bgColor rgb="FFF7E3DF"/>
        </x:patternFill>
      </x:fill>
    </x:dxf>
    <x:dxf>
      <x:font>
        <x:b/>
        <x:color rgb="FF8A4B16"/>
      </x:font>
      <x:fill>
        <x:patternFill patternType="solid">
          <x:bgColor rgb="FFFAEED9"/>
        </x:patternFill>
      </x:fill>
    </x:dxf>
    <x:dxf>
      <x:font>
        <x:color rgb="FF776019"/>
      </x:font>
      <x:fill>
        <x:patternFill patternType="solid">
          <x:bgColor rgb="FFFFF7D6"/>
        </x:patternFill>
      </x:fill>
    </x:dxf>
    <x:dxf>
      <x:font>
        <x:color rgb="FF5F7358"/>
      </x:font>
      <x:fill>
        <x:patternFill patternType="solid">
          <x:bgColor rgb="FFE7EFE4"/>
        </x:patternFill>
      </x:fill>
    </x:dxf>
    <x:dxf>
      <x:font>
        <x:b/>
        <x:color rgb="FFB84A3A"/>
      </x:font>
      <x:fill>
        <x:patternFill patternType="solid">
          <x:bgColor rgb="FFF7E3DF"/>
        </x:patternFill>
      </x:fill>
    </x:dxf>
    <x:dxf>
      <x:font>
        <x:b/>
        <x:color rgb="FF7A551E"/>
      </x:font>
      <x:fill>
        <x:patternFill patternType="solid">
          <x:bgColor rgb="FFFAEED9"/>
        </x:patternFill>
      </x:fill>
    </x:dxf>
    <x:dxf>
      <x:font>
        <x:color rgb="FF5D7185"/>
      </x:font>
      <x:fill>
        <x:patternFill patternType="solid">
          <x:bgColor rgb="FFE8EEF4"/>
        </x:patternFill>
      </x:fill>
    </x:dxf>
    <x:dxf>
      <x:font>
        <x:b/>
        <x:color rgb="FF5F7358"/>
      </x:font>
      <x:fill>
        <x:patternFill patternType="solid">
          <x:bgColor rgb="FFE7EFE4"/>
        </x:patternFill>
      </x:fill>
    </x:dxf>
    <x:dxf>
      <x:font>
        <x:b/>
        <x:color rgb="FFC98A36"/>
      </x:font>
      <x:fill>
        <x:patternFill patternType="solid">
          <x:bgColor rgb="FFFAEED9"/>
        </x:patternFill>
      </x:fill>
    </x:dxf>
    <x:dxf>
      <x:font>
        <x:b/>
        <x:color rgb="FFB84A3A"/>
      </x:font>
      <x:fill>
        <x:patternFill patternType="solid">
          <x:bgColor rgb="FFF7E3DF"/>
        </x:patternFill>
      </x:fill>
    </x:dxf>
    <x:dxf>
      <x:font>
        <x:color rgb="FF77736D"/>
      </x:font>
      <x:fill>
        <x:patternFill patternType="solid">
          <x:bgColor rgb="FFF1F0ED"/>
        </x:patternFill>
      </x:fill>
    </x:dxf>
    <x:dxf>
      <x:font>
        <x:color rgb="FF5D7185"/>
      </x:font>
      <x:fill>
        <x:patternFill patternType="solid">
          <x:bgColor rgb="FFE8EEF4"/>
        </x:patternFill>
      </x:fill>
    </x:dxf>
    <x:dxf>
      <x:font>
        <x:b/>
        <x:color rgb="FFB84A3A"/>
      </x:font>
      <x:fill>
        <x:patternFill patternType="solid">
          <x:bgColor rgb="FFF7E3DF"/>
        </x:patternFill>
      </x:fill>
    </x:dxf>
    <x:dxf>
      <x:font>
        <x:b/>
        <x:color rgb="FF7A551E"/>
      </x:font>
      <x:fill>
        <x:patternFill patternType="solid">
          <x:bgColor rgb="FFFAEED9"/>
        </x:patternFill>
      </x:fill>
    </x:dxf>
    <x:dxf>
      <x:font>
        <x:color rgb="FF5D7185"/>
      </x:font>
      <x:fill>
        <x:patternFill patternType="solid">
          <x:bgColor rgb="FFE8EEF4"/>
        </x:patternFill>
      </x:fill>
    </x:dxf>
    <x:dxf>
      <x:font>
        <x:b/>
        <x:color rgb="FFB84A3A"/>
      </x:font>
      <x:fill>
        <x:patternFill patternType="solid">
          <x:bgColor rgb="FFF7E3DF"/>
        </x:patternFill>
      </x:fill>
    </x:dxf>
    <x:dxf>
      <x:font>
        <x:b/>
        <x:color rgb="FF8A4B16"/>
      </x:font>
      <x:fill>
        <x:patternFill patternType="solid">
          <x:bgColor rgb="FFFAEED9"/>
        </x:patternFill>
      </x:fill>
    </x:dxf>
    <x:dxf>
      <x:font>
        <x:color rgb="FF776019"/>
      </x:font>
      <x:fill>
        <x:patternFill patternType="solid">
          <x:bgColor rgb="FFFFF7D6"/>
        </x:patternFill>
      </x:fill>
    </x:dxf>
    <x:dxf>
      <x:font>
        <x:color rgb="FF5F7358"/>
      </x:font>
      <x:fill>
        <x:patternFill patternType="solid">
          <x:bgColor rgb="FFE7EFE4"/>
        </x:patternFill>
      </x:fill>
    </x:dxf>
    <x:dxf>
      <x:font>
        <x:b/>
        <x:color rgb="FF5F7358"/>
      </x:font>
      <x:fill>
        <x:patternFill patternType="solid">
          <x:bgColor rgb="FFE7EFE4"/>
        </x:patternFill>
      </x:fill>
    </x:dxf>
    <x:dxf>
      <x:font>
        <x:b/>
        <x:color rgb="FFC98A36"/>
      </x:font>
      <x:fill>
        <x:patternFill patternType="solid">
          <x:bgColor rgb="FFFAEED9"/>
        </x:patternFill>
      </x:fill>
    </x:dxf>
    <x:dxf>
      <x:font>
        <x:b/>
        <x:color rgb="FFB84A3A"/>
      </x:font>
      <x:fill>
        <x:patternFill patternType="solid">
          <x:bgColor rgb="FFF7E3DF"/>
        </x:patternFill>
      </x:fill>
    </x:dxf>
    <x:dxf>
      <x:font>
        <x:color rgb="FF77736D"/>
      </x:font>
      <x:fill>
        <x:patternFill patternType="solid">
          <x:bgColor rgb="FFF1F0ED"/>
        </x:patternFill>
      </x:fill>
    </x:dxf>
    <x:dxf>
      <x:font>
        <x:color rgb="FF5D7185"/>
      </x:font>
      <x:fill>
        <x:patternFill patternType="solid">
          <x:bgColor rgb="FFE8EEF4"/>
        </x:patternFill>
      </x:fill>
    </x:dxf>
    <x:dxf>
      <x:font>
        <x:b/>
        <x:color rgb="FFB84A3A"/>
      </x:font>
      <x:fill>
        <x:patternFill patternType="solid">
          <x:bgColor rgb="FFF7E3DF"/>
        </x:patternFill>
      </x:fill>
    </x:dxf>
    <x:dxf>
      <x:font>
        <x:b/>
        <x:color rgb="FF8A4B16"/>
      </x:font>
      <x:fill>
        <x:patternFill patternType="solid">
          <x:bgColor rgb="FFFAEED9"/>
        </x:patternFill>
      </x:fill>
    </x:dxf>
    <x:dxf>
      <x:font>
        <x:color rgb="FF776019"/>
      </x:font>
      <x:fill>
        <x:patternFill patternType="solid">
          <x:bgColor rgb="FFFFF7D6"/>
        </x:patternFill>
      </x:fill>
    </x:dxf>
    <x:dxf>
      <x:font>
        <x:color rgb="FF5F7358"/>
      </x:font>
      <x:fill>
        <x:patternFill patternType="solid">
          <x:bgColor rgb="FFE7EFE4"/>
        </x:patternFill>
      </x:fill>
    </x:dxf>
    <x:dxf>
      <x:font>
        <x:b/>
        <x:color rgb="FF5F7358"/>
      </x:font>
      <x:fill>
        <x:patternFill patternType="solid">
          <x:bgColor rgb="FFE7EFE4"/>
        </x:patternFill>
      </x:fill>
    </x:dxf>
    <x:dxf>
      <x:font>
        <x:b/>
        <x:color rgb="FFC98A36"/>
      </x:font>
      <x:fill>
        <x:patternFill patternType="solid">
          <x:bgColor rgb="FFFAEED9"/>
        </x:patternFill>
      </x:fill>
    </x:dxf>
    <x:dxf>
      <x:font>
        <x:b/>
        <x:color rgb="FFB84A3A"/>
      </x:font>
      <x:fill>
        <x:patternFill patternType="solid">
          <x:bgColor rgb="FFF7E3DF"/>
        </x:patternFill>
      </x:fill>
    </x:dxf>
    <x:dxf>
      <x:font>
        <x:color rgb="FF77736D"/>
      </x:font>
      <x:fill>
        <x:patternFill patternType="solid">
          <x:bgColor rgb="FFF1F0ED"/>
        </x:patternFill>
      </x:fill>
    </x:dxf>
    <x:dxf>
      <x:font>
        <x:color rgb="FF5D7185"/>
      </x:font>
      <x:fill>
        <x:patternFill patternType="solid">
          <x:bgColor rgb="FFE8EEF4"/>
        </x:patternFill>
      </x:fill>
    </x:dxf>
    <x:dxf>
      <x:font>
        <x:b/>
        <x:color rgb="FFB84A3A"/>
      </x:font>
      <x:fill>
        <x:patternFill patternType="solid">
          <x:bgColor rgb="FFF7E3DF"/>
        </x:patternFill>
      </x:fill>
    </x:dxf>
    <x:dxf>
      <x:font>
        <x:b/>
        <x:color rgb="FF7A551E"/>
      </x:font>
      <x:fill>
        <x:patternFill patternType="solid">
          <x:bgColor rgb="FFFAEED9"/>
        </x:patternFill>
      </x:fill>
    </x:dxf>
    <x:dxf>
      <x:font>
        <x:color rgb="FF5D7185"/>
      </x:font>
      <x:fill>
        <x:patternFill patternType="solid">
          <x:bgColor rgb="FFE8EEF4"/>
        </x:patternFill>
      </x:fill>
    </x:dxf>
    <x:dxf>
      <x:font>
        <x:b/>
        <x:color rgb="FF5F7358"/>
      </x:font>
      <x:fill>
        <x:patternFill patternType="solid">
          <x:bgColor rgb="FFE7EFE4"/>
        </x:patternFill>
      </x:fill>
    </x:dxf>
    <x:dxf>
      <x:font>
        <x:b/>
        <x:color rgb="FFC98A36"/>
      </x:font>
      <x:fill>
        <x:patternFill patternType="solid">
          <x:bgColor rgb="FFFAEED9"/>
        </x:patternFill>
      </x:fill>
    </x:dxf>
    <x:dxf>
      <x:font>
        <x:b/>
        <x:color rgb="FFB84A3A"/>
      </x:font>
      <x:fill>
        <x:patternFill patternType="solid">
          <x:bgColor rgb="FFF7E3DF"/>
        </x:patternFill>
      </x:fill>
    </x:dxf>
    <x:dxf>
      <x:font>
        <x:color rgb="FF77736D"/>
      </x:font>
      <x:fill>
        <x:patternFill patternType="solid">
          <x:bgColor rgb="FFF1F0ED"/>
        </x:patternFill>
      </x:fill>
    </x:dxf>
    <x:dxf>
      <x:font>
        <x:color rgb="FF5D7185"/>
      </x:font>
      <x:fill>
        <x:patternFill patternType="solid">
          <x:bgColor rgb="FFE8EEF4"/>
        </x:patternFill>
      </x:fill>
    </x:dxf>
    <x:dxf>
      <x:font>
        <x:b/>
        <x:color rgb="FFB84A3A"/>
      </x:font>
      <x:fill>
        <x:patternFill patternType="solid">
          <x:bgColor rgb="FFF7E3DF"/>
        </x:patternFill>
      </x:fill>
    </x:dxf>
    <x:dxf>
      <x:font>
        <x:b/>
        <x:color rgb="FF7A551E"/>
      </x:font>
      <x:fill>
        <x:patternFill patternType="solid">
          <x:bgColor rgb="FFFAEED9"/>
        </x:patternFill>
      </x:fill>
    </x:dxf>
    <x:dxf>
      <x:font>
        <x:color rgb="FF5D7185"/>
      </x:font>
      <x:fill>
        <x:patternFill patternType="solid">
          <x:bgColor rgb="FFE8EEF4"/>
        </x:patternFill>
      </x:fill>
    </x:dxf>
    <x:dxf>
      <x:font>
        <x:b/>
        <x:color rgb="FF5F7358"/>
      </x:font>
      <x:fill>
        <x:patternFill patternType="solid">
          <x:bgColor rgb="FFE7EFE4"/>
        </x:patternFill>
      </x:fill>
    </x:dxf>
    <x:dxf>
      <x:font>
        <x:b/>
        <x:color rgb="FFC98A36"/>
      </x:font>
      <x:fill>
        <x:patternFill patternType="solid">
          <x:bgColor rgb="FFFAEED9"/>
        </x:patternFill>
      </x:fill>
    </x:dxf>
    <x:dxf>
      <x:font>
        <x:b/>
        <x:color rgb="FFB84A3A"/>
      </x:font>
      <x:fill>
        <x:patternFill patternType="solid">
          <x:bgColor rgb="FFF7E3DF"/>
        </x:patternFill>
      </x:fill>
    </x:dxf>
    <x:dxf>
      <x:font>
        <x:color rgb="FF77736D"/>
      </x:font>
      <x:fill>
        <x:patternFill patternType="solid">
          <x:bgColor rgb="FFF1F0ED"/>
        </x:patternFill>
      </x:fill>
    </x:dxf>
    <x:dxf>
      <x:font>
        <x:color rgb="FF5D7185"/>
      </x:font>
      <x:fill>
        <x:patternFill patternType="solid">
          <x:bgColor rgb="FFE8EEF4"/>
        </x:patternFill>
      </x:fill>
    </x:dxf>
    <x:dxf>
      <x:font>
        <x:b/>
        <x:color rgb="FF5F7358"/>
      </x:font>
      <x:fill>
        <x:patternFill patternType="solid">
          <x:bgColor rgb="FFE7EFE4"/>
        </x:patternFill>
      </x:fill>
    </x:dxf>
    <x:dxf>
      <x:font>
        <x:b/>
        <x:color rgb="FFC98A36"/>
      </x:font>
      <x:fill>
        <x:patternFill patternType="solid">
          <x:bgColor rgb="FFFAEED9"/>
        </x:patternFill>
      </x:fill>
    </x:dxf>
    <x:dxf>
      <x:font>
        <x:b/>
        <x:color rgb="FF5F7358"/>
      </x:font>
      <x:fill>
        <x:patternFill patternType="solid">
          <x:bgColor rgb="FFE7EFE4"/>
        </x:patternFill>
      </x:fill>
    </x:dxf>
    <x:dxf>
      <x:font>
        <x:b/>
        <x:color rgb="FFB84A3A"/>
      </x:font>
      <x:fill>
        <x:patternFill patternType="solid">
          <x:bgColor rgb="FFF7E3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0744cbeddf4e06" /><Relationship Type="http://schemas.openxmlformats.org/officeDocument/2006/relationships/theme" Target="/xl/theme/theme1.xml" Id="R39fff9e0e9c544ce" /><Relationship Type="http://schemas.openxmlformats.org/officeDocument/2006/relationships/sharedStrings" Target="/xl/sharedStrings.xml" Id="R1d65600a9d984020" /><Relationship Type="http://schemas.openxmlformats.org/officeDocument/2006/relationships/worksheet" Target="/xl/worksheets/sheet1.xml" Id="R8175e27a8de94287" /><Relationship Type="http://schemas.openxmlformats.org/officeDocument/2006/relationships/worksheet" Target="/xl/worksheets/sheet2.xml" Id="R16388ecbcb984968" /><Relationship Type="http://schemas.openxmlformats.org/officeDocument/2006/relationships/worksheet" Target="/xl/worksheets/sheet3.xml" Id="R6908b0beee324eb0" /><Relationship Type="http://schemas.openxmlformats.org/officeDocument/2006/relationships/worksheet" Target="/xl/worksheets/sheet4.xml" Id="R0a32ee0c1fa84e37" /><Relationship Type="http://schemas.openxmlformats.org/officeDocument/2006/relationships/worksheet" Target="/xl/worksheets/sheet5.xml" Id="R29db16fb94f64c20" /><Relationship Type="http://schemas.openxmlformats.org/officeDocument/2006/relationships/worksheet" Target="/xl/worksheets/sheet6.xml" Id="Rbb176f643a534515" /><Relationship Type="http://schemas.openxmlformats.org/officeDocument/2006/relationships/worksheet" Target="/xl/worksheets/sheet7.xml" Id="R59536d40dd1d4a59" /><Relationship Type="http://schemas.openxmlformats.org/officeDocument/2006/relationships/worksheet" Target="/xl/worksheets/sheet8.xml" Id="R4d520ff4ca9947ea" /><Relationship Type="http://schemas.openxmlformats.org/officeDocument/2006/relationships/worksheet" Target="/xl/worksheets/sheet9.xml" Id="R13eb6dd5ddee41c5" /><Relationship Type="http://schemas.openxmlformats.org/officeDocument/2006/relationships/worksheet" Target="/xl/worksheets/sheet10.xml" Id="Re302881eaee544db" /></Relationships>
</file>

<file path=xl/tables/table1.xml><?xml version="1.0" encoding="utf-8"?>
<x:table xmlns:x="http://schemas.openxmlformats.org/spreadsheetml/2006/main" id="1" name="CoreAssetsTable" displayName="CoreAssetsTable" ref="A4:Q11" headerRowCount="1" totalsRowCount="0" totalsRowShown="0">
  <x:tableColumns count="17">
    <x:tableColumn id="1" name="Asset ID"/>
    <x:tableColumn id="2" name="Canonical Tag"/>
    <x:tableColumn id="3" name="资产名称"/>
    <x:tableColumn id="4" name="资产类型"/>
    <x:tableColumn id="5" name="父参考"/>
    <x:tableColumn id="6" name="派生规则"/>
    <x:tableColumn id="7" name="年龄/身高"/>
    <x:tableColumn id="8" name="体态"/>
    <x:tableColumn id="9" name="骨相锚点"/>
    <x:tableColumn id="10" name="发髻/发色"/>
    <x:tableColumn id="11" name="胡须"/>
    <x:tableColumn id="12" name="肤质/材质"/>
    <x:tableColumn id="13" name="默认服装"/>
    <x:tableColumn id="14" name="连续性锁点"/>
    <x:tableColumn id="15" name="交付组成"/>
    <x:tableColumn id="16" name="优先级"/>
    <x:tableColumn id="17" name="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stumeStatesTable" displayName="CostumeStatesTable" ref="A4:Q12" headerRowCount="1" totalsRowCount="0" totalsRowShown="0">
  <x:tableColumns count="17">
    <x:tableColumn id="1" name="Costume State ID"/>
    <x:tableColumn id="2" name="Canonical Tag"/>
    <x:tableColumn id="3" name="角色"/>
    <x:tableColumn id="4" name="定义来源"/>
    <x:tableColumn id="5" name="阶段/用途"/>
    <x:tableColumn id="6" name="镜头覆盖"/>
    <x:tableColumn id="7" name="轮廓与层次"/>
    <x:tableColumn id="8" name="主材质"/>
    <x:tableColumn id="9" name="主色"/>
    <x:tableColumn id="10" name="领襟"/>
    <x:tableColumn id="11" name="腰带/袖口"/>
    <x:tableColumn id="12" name="天气/磨损"/>
    <x:tableColumn id="13" name="父身份"/>
    <x:tableColumn id="14" name="依赖"/>
    <x:tableColumn id="15" name="导演裁决"/>
    <x:tableColumn id="16" name="优先级"/>
    <x:tableColumn id="17" name="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tionAssetsTable" displayName="ActionAssetsTable" ref="A4:Q30" headerRowCount="1" totalsRowCount="0" totalsRowShown="0">
  <x:tableColumns count="17">
    <x:tableColumn id="1" name="Action ID"/>
    <x:tableColumn id="2" name="Canonical Tag"/>
    <x:tableColumn id="3" name="角色"/>
    <x:tableColumn id="4" name="类别"/>
    <x:tableColumn id="5" name="动作定义"/>
    <x:tableColumn id="6" name="起始状态"/>
    <x:tableColumn id="7" name="结束状态"/>
    <x:tableColumn id="8" name="手别"/>
    <x:tableColumn id="9" name="交互对象"/>
    <x:tableColumn id="10" name="道具标签"/>
    <x:tableColumn id="11" name="镜头"/>
    <x:tableColumn id="12" name="服装状态"/>
    <x:tableColumn id="13" name="风险"/>
    <x:tableColumn id="14" name="生成方式"/>
    <x:tableColumn id="15" name="验收重点"/>
    <x:tableColumn id="16" name="优先级"/>
    <x:tableColumn id="17" name="状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trasAssetsTable" displayName="ExtrasAssetsTable" ref="A4:N10" headerRowCount="1" totalsRowCount="0" totalsRowShown="0">
  <x:tableColumns count="14">
    <x:tableColumn id="1" name="Group ID"/>
    <x:tableColumn id="2" name="Canonical Tag"/>
    <x:tableColumn id="3" name="名称"/>
    <x:tableColumn id="4" name="构成"/>
    <x:tableColumn id="5" name="年龄/性别"/>
    <x:tableColumn id="6" name="服装依赖"/>
    <x:tableColumn id="7" name="核心动作"/>
    <x:tableColumn id="8" name="场景"/>
    <x:tableColumn id="9" name="镜头"/>
    <x:tableColumn id="10" name="例外模板"/>
    <x:tableColumn id="11" name="验收重点"/>
    <x:tableColumn id="12" name="优先级"/>
    <x:tableColumn id="13" name="风险"/>
    <x:tableColumn id="14" name="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haracterShotCoverageTable" displayName="CharacterShotCoverageTable" ref="A4:N35" headerRowCount="1" totalsRowCount="0" totalsRowShown="0">
  <x:tableColumns count="14">
    <x:tableColumn id="1" name="镜号"/>
    <x:tableColumn id="2" name="时间码"/>
    <x:tableColumn id="3" name="角色"/>
    <x:tableColumn id="4" name="服装状态"/>
    <x:tableColumn id="5" name="场景"/>
    <x:tableColumn id="6" name="群演"/>
    <x:tableColumn id="7" name="道具"/>
    <x:tableColumn id="8" name="动作标签"/>
    <x:tableColumn id="9" name="人物任务"/>
    <x:tableColumn id="10" name="相机/构图"/>
    <x:tableColumn id="11" name="风险"/>
    <x:tableColumn id="12" name="静帧重点"/>
    <x:tableColumn id="13" name="视频回退"/>
    <x:tableColumn id="14" name="状态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haracterQATable" displayName="CharacterQATable" ref="A4:L41" headerRowCount="1" totalsRowCount="0" totalsRowShown="0">
  <x:tableColumns count="12">
    <x:tableColumn id="1" name="Check ID"/>
    <x:tableColumn id="2" name="范围"/>
    <x:tableColumn id="3" name="类别"/>
    <x:tableColumn id="4" name="检查项"/>
    <x:tableColumn id="5" name="通过标准"/>
    <x:tableColumn id="6" name="检查方法"/>
    <x:tableColumn id="7" name="阻断项"/>
    <x:tableColumn id="8" name="严重度"/>
    <x:tableColumn id="9" name="证据路径"/>
    <x:tableColumn id="10" name="审核人"/>
    <x:tableColumn id="11" name="审核日期"/>
    <x:tableColumn id="12" name="状态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irstBatchQueueTable" displayName="FirstBatchQueueTable" ref="A4:M14" headerRowCount="1" totalsRowCount="0" totalsRowShown="0">
  <x:tableColumns count="13">
    <x:tableColumn id="1" name="顺序"/>
    <x:tableColumn id="2" name="Task ID"/>
    <x:tableColumn id="3" name="交付物"/>
    <x:tableColumn id="4" name="Canonical Tag"/>
    <x:tableColumn id="5" name="父参考"/>
    <x:tableColumn id="6" name="参考输入"/>
    <x:tableColumn id="7" name="需要视图"/>
    <x:tableColumn id="8" name="构图候选"/>
    <x:tableColumn id="9" name="计划图包数"/>
    <x:tableColumn id="10" name="闸门"/>
    <x:tableColumn id="11" name="文件命名"/>
    <x:tableColumn id="12" name="优先级"/>
    <x:tableColumn id="13" name="状态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ourcesDecisionsTable" displayName="SourcesDecisionsTable" ref="A4:H22" headerRowCount="1" totalsRowCount="0" totalsRowShown="0">
  <x:tableColumns count="8">
    <x:tableColumn id="1" name="记录 ID"/>
    <x:tableColumn id="2" name="类型"/>
    <x:tableColumn id="3" name="主题"/>
    <x:tableColumn id="4" name="来源/位置"/>
    <x:tableColumn id="5" name="处理结论"/>
    <x:tableColumn id="6" name="状态"/>
    <x:tableColumn id="7" name="影响资产"/>
    <x:tableColumn id="8" name="备注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haracterArchiveMapTable" displayName="CharacterArchiveMapTable" ref="A4:G40" headerRowCount="1" totalsRowCount="0" totalsRowShown="0">
  <x:tableColumns count="7">
    <x:tableColumn id="1" name="角色/范围"/>
    <x:tableColumn id="2" name="目录层级"/>
    <x:tableColumn id="3" name="归档用途"/>
    <x:tableColumn id="4" name="绝对路径"/>
    <x:tableColumn id="5" name="应存内容"/>
    <x:tableColumn id="6" name="当前状态"/>
    <x:tableColumn id="7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8b49baad4f44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615d6d4793843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18dbef2291242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b5d1e8ef7242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0f8b2a263a441c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077c782e18947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7f2baa1274d439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cea98971676443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8775fffdfc743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30" customHeight="1">
      <x:c r="A1" s="3" t="str">
        <x:v>《散尽千金的人，为什么成了财神？》｜人物形象分支资产台账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2" customHeight="1">
      <x:c r="A2" s="7" t="str">
        <x:v>版本 v1.0｜角色规范已整理，当前所有视觉资产均为“未开始”；人物闸门未通过前禁止批量制作剧情镜头。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>
      <x:c r="A3" s="70"/>
      <x:c r="B3" s="70"/>
      <x:c r="C3" s="70"/>
      <x:c r="D3" s="70"/>
      <x:c r="E3" s="70"/>
      <x:c r="F3" s="70"/>
      <x:c r="G3" s="70"/>
      <x:c r="H3" s="70"/>
      <x:c r="I3" s="70"/>
      <x:c r="J3" s="70"/>
    </x:row>
    <x:row r="4">
      <x:c r="A4" s="15" t="str">
        <x:v>核心指标</x:v>
      </x:c>
      <x:c r="B4" s="16" t="str">
        <x:v>当前值</x:v>
      </x:c>
      <x:c r="C4" s="70"/>
      <x:c r="D4" s="71" t="str">
        <x:v>身份派生链与阶段闸门</x:v>
      </x:c>
      <x:c r="E4" s="72"/>
      <x:c r="F4" s="72"/>
      <x:c r="G4" s="72"/>
      <x:c r="H4" s="72"/>
      <x:c r="I4" s="72"/>
      <x:c r="J4" s="73"/>
    </x:row>
    <x:row r="5">
      <x:c r="A5" s="17" t="str">
        <x:v>核心/校准资产</x:v>
      </x:c>
      <x:c r="B5" s="18" t="n">
        <x:f>COUNTA('01_角色主资产'!$A$5:$A$20)</x:f>
        <x:v>7</x:v>
      </x:c>
      <x:c r="C5" s="70"/>
      <x:c r="D5" s="34" t="str">
        <x:v>@FL35（根身份）  →  @FL45（仅增加年龄）  →  @TZG60（继续自然老化）
@STATUE（以“财神正面.png”为造型权威；与三龄链并列管理，不以 @TZG60 改写其外形）
闸门 1：FL35 中性正脸、转面、全身通过
闸门 2：三龄同尺度/同光/同角度像同一人真实变老
闸门 3：权威参考挂载后，锁定神像正立结构、材质、双手物件与闭/开眼配对
闸门 4：服装、表情、手势与群演资产通过后，才进入 31 个含核心人物镜头</x:v>
      </x:c>
      <x:c r="E5" s="27"/>
      <x:c r="F5" s="27"/>
      <x:c r="G5" s="27"/>
      <x:c r="H5" s="27"/>
      <x:c r="I5" s="27"/>
      <x:c r="J5" s="35"/>
    </x:row>
    <x:row r="6">
      <x:c r="A6" s="17" t="str">
        <x:v>服装状态</x:v>
      </x:c>
      <x:c r="B6" s="18" t="n">
        <x:f>COUNTA('02_服装状态'!$A$5:$A$30)</x:f>
        <x:v>8</x:v>
      </x:c>
      <x:c r="C6" s="70"/>
      <x:c r="D6" s="34"/>
      <x:c r="E6" s="27"/>
      <x:c r="F6" s="27"/>
      <x:c r="G6" s="27"/>
      <x:c r="H6" s="27"/>
      <x:c r="I6" s="27"/>
      <x:c r="J6" s="35"/>
    </x:row>
    <x:row r="7">
      <x:c r="A7" s="17" t="str">
        <x:v>表情与手势</x:v>
      </x:c>
      <x:c r="B7" s="18" t="n">
        <x:f>COUNTA('03_表情手势'!$A$5:$A$50)</x:f>
        <x:v>26</x:v>
      </x:c>
      <x:c r="C7" s="70"/>
      <x:c r="D7" s="34"/>
      <x:c r="E7" s="27"/>
      <x:c r="F7" s="27"/>
      <x:c r="G7" s="27"/>
      <x:c r="H7" s="27"/>
      <x:c r="I7" s="27"/>
      <x:c r="J7" s="35"/>
    </x:row>
    <x:row r="8">
      <x:c r="A8" s="17" t="str">
        <x:v>群演资产包</x:v>
      </x:c>
      <x:c r="B8" s="18" t="n">
        <x:f>COUNTA('04_群演资产'!$A$5:$A$20)</x:f>
        <x:v>6</x:v>
      </x:c>
      <x:c r="C8" s="70"/>
      <x:c r="D8" s="34"/>
      <x:c r="E8" s="27"/>
      <x:c r="F8" s="27"/>
      <x:c r="G8" s="27"/>
      <x:c r="H8" s="27"/>
      <x:c r="I8" s="27"/>
      <x:c r="J8" s="35"/>
    </x:row>
    <x:row r="9">
      <x:c r="A9" s="17" t="str">
        <x:v>含核心人物镜头</x:v>
      </x:c>
      <x:c r="B9" s="18" t="n">
        <x:f>COUNTA('05_镜头覆盖'!$A$5:$A$50)</x:f>
        <x:v>31</x:v>
      </x:c>
      <x:c r="C9" s="70"/>
      <x:c r="D9" s="34"/>
      <x:c r="E9" s="27"/>
      <x:c r="F9" s="27"/>
      <x:c r="G9" s="27"/>
      <x:c r="H9" s="27"/>
      <x:c r="I9" s="27"/>
      <x:c r="J9" s="35"/>
    </x:row>
    <x:row r="10">
      <x:c r="A10" s="17" t="str">
        <x:v>首批计划图包</x:v>
      </x:c>
      <x:c r="B10" s="18" t="n">
        <x:f>SUM('07_首批队列'!$I$5:$I$20)</x:f>
        <x:v>10</x:v>
      </x:c>
      <x:c r="C10" s="70"/>
      <x:c r="D10" s="34"/>
      <x:c r="E10" s="27"/>
      <x:c r="F10" s="27"/>
      <x:c r="G10" s="27"/>
      <x:c r="H10" s="27"/>
      <x:c r="I10" s="27"/>
      <x:c r="J10" s="35"/>
    </x:row>
    <x:row r="11">
      <x:c r="A11" s="17" t="str">
        <x:v>已通过资产</x:v>
      </x:c>
      <x:c r="B11" s="18" t="n">
        <x:f>COUNTIF('01_角色主资产'!$Q$5:$Q$20,"已通过")+COUNTIF('02_服装状态'!$Q$5:$Q$30,"已通过")+COUNTIF('03_表情手势'!$Q$5:$Q$50,"已通过")+COUNTIF('04_群演资产'!$N$5:$N$20,"已通过")</x:f>
        <x:v>0</x:v>
      </x:c>
      <x:c r="C11" s="70"/>
      <x:c r="D11" s="74"/>
      <x:c r="E11" s="70"/>
      <x:c r="F11" s="70"/>
      <x:c r="G11" s="70"/>
      <x:c r="H11" s="70"/>
      <x:c r="I11" s="70"/>
      <x:c r="J11" s="75"/>
    </x:row>
    <x:row r="12">
      <x:c r="A12" s="17" t="str">
        <x:v>待导演裁决</x:v>
      </x:c>
      <x:c r="B12" s="18" t="n">
        <x:f>COUNTIF('02_服装状态'!$D$5:$D$30,"导演建议（需确认）")+COUNTIF('08_来源与裁决'!$F$5:$F$30,"待确认")</x:f>
        <x:v>5</x:v>
      </x:c>
      <x:c r="C12" s="70"/>
      <x:c r="D12" s="76" t="str">
        <x:v>统一身份 DNA</x:v>
      </x:c>
      <x:c r="E12" s="77"/>
      <x:c r="F12" s="77"/>
      <x:c r="G12" s="77"/>
      <x:c r="H12" s="77"/>
      <x:c r="I12" s="77"/>
      <x:c r="J12" s="78"/>
    </x:row>
    <x:row r="13">
      <x:c r="A13" s="19" t="str">
        <x:v>人物闸门</x:v>
      </x:c>
      <x:c r="B13" s="20" t="str">
        <x:f>IF(AND(COUNTIF('01_角色主资产'!$Q$5:$Q$11,"已通过")=7,COUNTIF('07_首批队列'!$M$5:$M$14,"已通过")=10),"通过","未通过")</x:f>
        <x:v>未通过</x:v>
      </x:c>
      <x:c r="C13" s="70"/>
      <x:c r="D13" s="41" t="str">
        <x:v>长椭圆脸｜平直浓眉｜左眉尾轻微自然断点｜内敛杏眼与固定眼距｜直鼻梁、圆钝鼻尖｜薄唇｜窄而有力下颌。年龄变化只允许：面颊消瘦、自然纹理、鬓灰与胡须递进；禁止重设计头骨、仙人白眉、夸张美颜或镜像翻转。</x:v>
      </x:c>
      <x:c r="E13" s="7"/>
      <x:c r="F13" s="7"/>
      <x:c r="G13" s="7"/>
      <x:c r="H13" s="7"/>
      <x:c r="I13" s="7"/>
      <x:c r="J13" s="42"/>
    </x:row>
    <x:row r="14">
      <x:c r="A14" s="70"/>
      <x:c r="B14" s="70"/>
      <x:c r="C14" s="70"/>
      <x:c r="D14" s="41"/>
      <x:c r="E14" s="7"/>
      <x:c r="F14" s="7"/>
      <x:c r="G14" s="7"/>
      <x:c r="H14" s="7"/>
      <x:c r="I14" s="7"/>
      <x:c r="J14" s="42"/>
    </x:row>
    <x:row r="15">
      <x:c r="A15" s="70"/>
      <x:c r="B15" s="70"/>
      <x:c r="C15" s="70"/>
      <x:c r="D15" s="41"/>
      <x:c r="E15" s="7"/>
      <x:c r="F15" s="7"/>
      <x:c r="G15" s="7"/>
      <x:c r="H15" s="7"/>
      <x:c r="I15" s="7"/>
      <x:c r="J15" s="42"/>
    </x:row>
    <x:row r="16">
      <x:c r="A16" s="70"/>
      <x:c r="B16" s="70"/>
      <x:c r="C16" s="70"/>
      <x:c r="D16" s="43"/>
      <x:c r="E16" s="44"/>
      <x:c r="F16" s="44"/>
      <x:c r="G16" s="44"/>
      <x:c r="H16" s="44"/>
      <x:c r="I16" s="44"/>
      <x:c r="J16" s="45"/>
    </x:row>
  </x:sheetData>
  <x:mergeCells>
    <x:mergeCell ref="A1:J1"/>
    <x:mergeCell ref="A2:J2"/>
    <x:mergeCell ref="D4:J4"/>
    <x:mergeCell ref="D5:J10"/>
    <x:mergeCell ref="D12:J12"/>
    <x:mergeCell ref="D13:J16"/>
  </x:mergeCells>
  <x:conditionalFormatting sqref="B13:B13">
    <x:cfRule type="containsText" dxfId="0" priority="1" operator="containsText" text="已通过"/>
    <x:cfRule type="containsText" dxfId="1" priority="2" operator="containsText" text="进行中"/>
    <x:cfRule type="containsText" dxfId="2" priority="3" operator="containsText" text="阻塞"/>
    <x:cfRule type="containsText" dxfId="3" priority="4" operator="containsText" text="未开始"/>
    <x:cfRule type="containsText" dxfId="4" priority="5" operator="containsText" text="待检查"/>
  </x:conditionalFormatting>
  <x:dataValidations count="1">
    <x:dataValidation type="list" sqref="B13">
      <x:formula1>"未开始,进行中,待检查,已通过,阻塞"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18" hidden="0" customWidth="1"/>
    <x:col min="4" max="4" width="14" hidden="0" customWidth="1"/>
    <x:col min="5" max="5" width="19" hidden="0" customWidth="1"/>
    <x:col min="6" max="6" width="34" hidden="0" customWidth="1"/>
    <x:col min="7" max="7" width="16" hidden="0" customWidth="1"/>
    <x:col min="8" max="8" width="26" hidden="0" customWidth="1"/>
    <x:col min="9" max="9" width="42" hidden="0" customWidth="1"/>
    <x:col min="10" max="10" width="25" hidden="0" customWidth="1"/>
    <x:col min="11" max="11" width="25" hidden="0" customWidth="1"/>
    <x:col min="12" max="12" width="32" hidden="0" customWidth="1"/>
    <x:col min="13" max="13" width="25" hidden="0" customWidth="1"/>
    <x:col min="14" max="14" width="42" hidden="0" customWidth="1"/>
    <x:col min="15" max="15" width="38" hidden="0" customWidth="1"/>
    <x:col min="16" max="16" width="10" hidden="0" customWidth="1"/>
    <x:col min="17" max="17" width="12" hidden="0" customWidth="1"/>
  </x:cols>
  <x:sheetData>
    <x:row r="1" ht="30" customHeight="1">
      <x:c r="A1" s="3" t="str">
        <x:v>01｜角色主资产与 Canonical Tag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2" customHeight="1">
      <x:c r="A2" s="7" t="str">
        <x:v>任何派生资产必须记录父参考、模型/seed 与版本；@FL45、@TZG60 不得独立重新选脸；@STATUE 以用户提供的“财神正面.png”为造型权威。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3">
      <x:c r="A3" s="70"/>
      <x:c r="B3" s="70"/>
      <x:c r="C3" s="70"/>
      <x:c r="D3" s="70"/>
      <x:c r="E3" s="70"/>
      <x:c r="F3" s="70"/>
      <x:c r="G3" s="70"/>
      <x:c r="H3" s="70"/>
      <x:c r="I3" s="70"/>
      <x:c r="J3" s="70"/>
      <x:c r="K3" s="70"/>
      <x:c r="L3" s="70"/>
      <x:c r="M3" s="70"/>
      <x:c r="N3" s="70"/>
      <x:c r="O3" s="70"/>
      <x:c r="P3" s="70"/>
      <x:c r="Q3" s="70"/>
    </x:row>
    <x:row r="4" ht="34" customHeight="1">
      <x:c r="A4" s="58" t="str">
        <x:v>Asset ID</x:v>
      </x:c>
      <x:c r="B4" s="59" t="str">
        <x:v>Canonical Tag</x:v>
      </x:c>
      <x:c r="C4" s="59" t="str">
        <x:v>资产名称</x:v>
      </x:c>
      <x:c r="D4" s="59" t="str">
        <x:v>资产类型</x:v>
      </x:c>
      <x:c r="E4" s="59" t="str">
        <x:v>父参考</x:v>
      </x:c>
      <x:c r="F4" s="59" t="str">
        <x:v>派生规则</x:v>
      </x:c>
      <x:c r="G4" s="59" t="str">
        <x:v>年龄/身高</x:v>
      </x:c>
      <x:c r="H4" s="59" t="str">
        <x:v>体态</x:v>
      </x:c>
      <x:c r="I4" s="59" t="str">
        <x:v>骨相锚点</x:v>
      </x:c>
      <x:c r="J4" s="59" t="str">
        <x:v>发髻/发色</x:v>
      </x:c>
      <x:c r="K4" s="59" t="str">
        <x:v>胡须</x:v>
      </x:c>
      <x:c r="L4" s="59" t="str">
        <x:v>肤质/材质</x:v>
      </x:c>
      <x:c r="M4" s="59" t="str">
        <x:v>默认服装</x:v>
      </x:c>
      <x:c r="N4" s="59" t="str">
        <x:v>连续性锁点</x:v>
      </x:c>
      <x:c r="O4" s="59" t="str">
        <x:v>交付组成</x:v>
      </x:c>
      <x:c r="P4" s="59" t="str">
        <x:v>优先级</x:v>
      </x:c>
      <x:c r="Q4" s="60" t="str">
        <x:v>状态</x:v>
      </x:c>
    </x:row>
    <x:row r="5" ht="42" customHeight="1">
      <x:c r="A5" s="66" t="str">
        <x:v>CHR_FL35_ROOT</x:v>
      </x:c>
      <x:c r="B5" s="66" t="str">
        <x:v>@FL35</x:v>
      </x:c>
      <x:c r="C5" s="66" t="str">
        <x:v>35 岁范蠡</x:v>
      </x:c>
      <x:c r="D5" s="66" t="str">
        <x:v>根身份</x:v>
      </x:c>
      <x:c r="E5" s="66" t="str">
        <x:v>—</x:v>
      </x:c>
      <x:c r="F5" s="66" t="str">
        <x:v>独立建立唯一脸；后续年龄均从此派生</x:v>
      </x:c>
      <x:c r="G5" s="66" t="str">
        <x:v>35 岁 / 约178cm</x:v>
      </x:c>
      <x:c r="H5" s="66" t="str">
        <x:v>清瘦不羸弱，肩线平直，重心稳定</x:v>
      </x:c>
      <x:c r="I5" s="66" t="str">
        <x:v>长椭圆脸；左眉尾断点；固定眼距；圆钝鼻尖；薄唇；窄下颌</x:v>
      </x:c>
      <x:c r="J5" s="66" t="str">
        <x:v>黑发高髻；深褐木簪</x:v>
      </x:c>
      <x:c r="K5" s="66" t="str">
        <x:v>无须或极淡短须</x:v>
      </x:c>
      <x:c r="L5" s="66" t="str">
        <x:v>自然小麦肤色；室外湿气与疲惫</x:v>
      </x:c>
      <x:c r="M5" s="66" t="str">
        <x:v>@CST_FL35_YUE_RAIN</x:v>
      </x:c>
      <x:c r="N5" s="66" t="str">
        <x:v>雨戏右肩更深、衣摆泥点；禁镜像</x:v>
      </x:c>
      <x:c r="O5" s="66" t="str">
        <x:v>中性正脸、左右45°、左右侧面、背面发髻、全身正侧背</x:v>
      </x:c>
      <x:c r="P5" s="66" t="str">
        <x:v>P0</x:v>
      </x:c>
      <x:c r="Q5" s="66" t="str">
        <x:v>未开始</x:v>
      </x:c>
    </x:row>
    <x:row r="6" ht="42" customHeight="1">
      <x:c r="A6" s="67" t="str">
        <x:v>CHR_FL45_DERIVED</x:v>
      </x:c>
      <x:c r="B6" s="67" t="str">
        <x:v>@FL45</x:v>
      </x:c>
      <x:c r="C6" s="67" t="str">
        <x:v>45 岁范蠡</x:v>
      </x:c>
      <x:c r="D6" s="67" t="str">
        <x:v>年龄派生</x:v>
      </x:c>
      <x:c r="E6" s="67" t="str">
        <x:v>@FL35</x:v>
      </x:c>
      <x:c r="F6" s="67" t="str">
        <x:v>保留精确骨相，只增加轻纹、脸颊消瘦、鬓灰和短须</x:v>
      </x:c>
      <x:c r="G6" s="67" t="str">
        <x:v>45 岁 / 约177cm</x:v>
      </x:c>
      <x:c r="H6" s="67" t="str">
        <x:v>更松、更稳；非武将式健硕</x:v>
      </x:c>
      <x:c r="I6" s="67" t="str">
        <x:v>完全沿用 @FL35；左眉尾断点必须保留</x:v>
      </x:c>
      <x:c r="J6" s="67" t="str">
        <x:v>同一木簪；更低发髻；太阳穴少量灰</x:v>
      </x:c>
      <x:c r="K6" s="67" t="str">
        <x:v>短上唇须与短下颌须，不过胸</x:v>
      </x:c>
      <x:c r="L6" s="67" t="str">
        <x:v>日晒真实；不美颜、不骤然老化</x:v>
      </x:c>
      <x:c r="M6" s="67" t="str">
        <x:v>@CST_FL45_YUE_DEPART</x:v>
      </x:c>
      <x:c r="N6" s="67" t="str">
        <x:v>离越/齐地/会使者三态不得串衣</x:v>
      </x:c>
      <x:c r="O6" s="67" t="str">
        <x:v>中性头肩、转面、全身；三套服装状态</x:v>
      </x:c>
      <x:c r="P6" s="67" t="str">
        <x:v>P0</x:v>
      </x:c>
      <x:c r="Q6" s="67" t="str">
        <x:v>未开始</x:v>
      </x:c>
    </x:row>
    <x:row r="7" ht="42" customHeight="1">
      <x:c r="A7" s="67" t="str">
        <x:v>CHR_TZG60_DERIVED</x:v>
      </x:c>
      <x:c r="B7" s="67" t="str">
        <x:v>@TZG60</x:v>
      </x:c>
      <x:c r="C7" s="67" t="str">
        <x:v>60 岁陶朱公</x:v>
      </x:c>
      <x:c r="D7" s="67" t="str">
        <x:v>年龄派生</x:v>
      </x:c>
      <x:c r="E7" s="67" t="str">
        <x:v>@FL45</x:v>
      </x:c>
      <x:c r="F7" s="67" t="str">
        <x:v>继续自然老化；禁止仙人化和重新选脸</x:v>
      </x:c>
      <x:c r="G7" s="67" t="str">
        <x:v>60 岁 / 约176cm</x:v>
      </x:c>
      <x:c r="H7" s="67" t="str">
        <x:v>背直；动作慢但不迟钝</x:v>
      </x:c>
      <x:c r="I7" s="67" t="str">
        <x:v>同一长脸、眉形、眼距、鼻尖和窄下颌</x:v>
      </x:c>
      <x:c r="J7" s="67" t="str">
        <x:v>黑灰低髻；银白鬓角</x:v>
      </x:c>
      <x:c r="K7" s="67" t="str">
        <x:v>短髭与丰满下颌须，最长不越锁骨上方</x:v>
      </x:c>
      <x:c r="L7" s="67" t="str">
        <x:v>日晒、风尘和细纹；右食指轻茧</x:v>
      </x:c>
      <x:c r="M7" s="67" t="str">
        <x:v>@CST_TZG60_TAO_BASE</x:v>
      </x:c>
      <x:c r="N7" s="67" t="str">
        <x:v>发髻高度、胡须轮廓、带结、右食指粗茧固定</x:v>
      </x:c>
      <x:c r="O7" s="67" t="str">
        <x:v>中性头肩、转面、全身、表情和手部近景</x:v>
      </x:c>
      <x:c r="P7" s="67" t="str">
        <x:v>P0</x:v>
      </x:c>
      <x:c r="Q7" s="67" t="str">
        <x:v>未开始</x:v>
      </x:c>
    </x:row>
    <x:row r="8" ht="42" customHeight="1">
      <x:c r="A8" s="67" t="str">
        <x:v>CHR_STATUE_MASTER</x:v>
      </x:c>
      <x:c r="B8" s="67" t="str">
        <x:v>@STATUE</x:v>
      </x:c>
      <x:c r="C8" s="67" t="str">
        <x:v>后世财神神像（STATUE_MASTER）</x:v>
      </x:c>
      <x:c r="D8" s="67" t="str">
        <x:v>权威参考派生</x:v>
      </x:c>
      <x:c r="E8" s="67" t="str">
        <x:v>财神正面.png（待挂载）</x:v>
      </x:c>
      <x:c r="F8" s="67" t="str">
        <x:v>造型严格服从权威参考；旧 DOCX 冲突描述失效，不得以 @TZG60 重塑外形</x:v>
      </x:c>
      <x:c r="G8" s="67" t="str">
        <x:v>正面直立神像</x:v>
      </x:c>
      <x:c r="H8" s="67" t="str">
        <x:v>完全静止；如启用镜头钩子，仅眼睑极慢开至60%</x:v>
      </x:c>
      <x:c r="I8" s="67" t="str">
        <x:v>平直黑眉、细长眼；脸部结构以权威图为准</x:v>
      </x:c>
      <x:c r="J8" s="67" t="str">
        <x:v>红色高冠；左右横展金色冠翅</x:v>
      </x:c>
      <x:c r="K8" s="67" t="str">
        <x:v>长黑须</x:v>
      </x:c>
      <x:c r="L8" s="67" t="str">
        <x:v>彩绘雕塑；老化仅可做表面层，具体程度待导演裁决</x:v>
      </x:c>
      <x:c r="M8" s="67" t="str">
        <x:v>@CST_STATUE_LATER_ROBE</x:v>
      </x:c>
      <x:c r="N8" s="67" t="str">
        <x:v>大红官袍、金色盘龙胸纹、蓝色云纹、黑金腰带及中央垂饰；人物自身右手托亮蓝宝珠、左手持金色礼仪物；蓝色海浪纹圆座；全部结构锁死</x:v>
      </x:c>
      <x:c r="O8" s="67" t="str">
        <x:v>权威参考登记、正面全身母版、材质微距、闭/开眼配对</x:v>
      </x:c>
      <x:c r="P8" s="67" t="str">
        <x:v>P0</x:v>
      </x:c>
      <x:c r="Q8" s="67" t="str">
        <x:v>阻塞</x:v>
      </x:c>
    </x:row>
    <x:row r="9" ht="42" customHeight="1">
      <x:c r="A9" s="67" t="str">
        <x:v>CAL_AGE3</x:v>
      </x:c>
      <x:c r="B9" s="67" t="str">
        <x:v>@CAL_AGE3</x:v>
      </x:c>
      <x:c r="C9" s="67" t="str">
        <x:v>三龄同框校准图</x:v>
      </x:c>
      <x:c r="D9" s="67" t="str">
        <x:v>校准资产</x:v>
      </x:c>
      <x:c r="E9" s="67" t="str">
        <x:v>@FL35 + @FL45 + @TZG60</x:v>
      </x:c>
      <x:c r="F9" s="67" t="str">
        <x:v>同尺度、同光、同角度排列，排除服装干扰</x:v>
      </x:c>
      <x:c r="G9" s="67" t="str">
        <x:v>35/45/60</x:v>
      </x:c>
      <x:c r="H9" s="67" t="str">
        <x:v>头肩同尺度</x:v>
      </x:c>
      <x:c r="I9" s="67" t="str">
        <x:v>核对眉、眼距、鼻尖、薄唇、窄下颌</x:v>
      </x:c>
      <x:c r="J9" s="67" t="str">
        <x:v>仅显示年龄梯度</x:v>
      </x:c>
      <x:c r="K9" s="67" t="str">
        <x:v>仅显示年龄梯度</x:v>
      </x:c>
      <x:c r="L9" s="67" t="str">
        <x:v>中性均匀光</x:v>
      </x:c>
      <x:c r="M9" s="67" t="str">
        <x:v>中性简装</x:v>
      </x:c>
      <x:c r="N9" s="67" t="str">
        <x:v>必须一眼看出同一个人真实变老</x:v>
      </x:c>
      <x:c r="O9" s="67" t="str">
        <x:v>同框校准图+标志对齐裁切</x:v>
      </x:c>
      <x:c r="P9" s="67" t="str">
        <x:v>P0</x:v>
      </x:c>
      <x:c r="Q9" s="67" t="str">
        <x:v>未开始</x:v>
      </x:c>
    </x:row>
    <x:row r="10" ht="42" customHeight="1">
      <x:c r="A10" s="67" t="str">
        <x:v>CAL_STATUE_EYES</x:v>
      </x:c>
      <x:c r="B10" s="67" t="str">
        <x:v>@CAL_STATUE_EYES</x:v>
      </x:c>
      <x:c r="C10" s="67" t="str">
        <x:v>神像眼部闭/开配对</x:v>
      </x:c>
      <x:c r="D10" s="67" t="str">
        <x:v>校准资产</x:v>
      </x:c>
      <x:c r="E10" s="67" t="str">
        <x:v>@STATUE</x:v>
      </x:c>
      <x:c r="F10" s="67" t="str">
        <x:v>同机位、同表面层，仅改变眼睑；宝珠发光不得误作眼部发光</x:v>
      </x:c>
      <x:c r="G10" s="67" t="str">
        <x:v>闭眼 / 60%睁眼</x:v>
      </x:c>
      <x:c r="H10" s="67" t="str">
        <x:v>完全静止</x:v>
      </x:c>
      <x:c r="I10" s="67" t="str">
        <x:v>平直黑眉与细长眼比例不变</x:v>
      </x:c>
      <x:c r="J10" s="67" t="str">
        <x:v>红冠与金色冠翅不变</x:v>
      </x:c>
      <x:c r="K10" s="67" t="str">
        <x:v>长黑须不变</x:v>
      </x:c>
      <x:c r="L10" s="67" t="str">
        <x:v>雕塑表面不液化；眼球不发光</x:v>
      </x:c>
      <x:c r="M10" s="67" t="str">
        <x:v>@CST_STATUE_LATER_ROBE</x:v>
      </x:c>
      <x:c r="N10" s="67" t="str">
        <x:v>纹理像素级一致；禁止口型和头动；宝珠是否发光待导演裁决</x:v>
      </x:c>
      <x:c r="O10" s="67" t="str">
        <x:v>闭眼、半睁、60%睁眼三状态</x:v>
      </x:c>
      <x:c r="P10" s="67" t="str">
        <x:v>P0</x:v>
      </x:c>
      <x:c r="Q10" s="67" t="str">
        <x:v>阻塞</x:v>
      </x:c>
    </x:row>
    <x:row r="11" ht="42" customHeight="1">
      <x:c r="A11" s="67" t="str">
        <x:v>CAL_HANDS</x:v>
      </x:c>
      <x:c r="B11" s="67" t="str">
        <x:v>@CAL_HANDS</x:v>
      </x:c>
      <x:c r="C11" s="67" t="str">
        <x:v>三龄手部身份板</x:v>
      </x:c>
      <x:c r="D11" s="67" t="str">
        <x:v>校准资产</x:v>
      </x:c>
      <x:c r="E11" s="67" t="str">
        <x:v>@FL35 + @FL45 + @TZG60</x:v>
      </x:c>
      <x:c r="F11" s="67" t="str">
        <x:v>按年龄分别生成，不用一张“成熟男性手”覆盖全部</x:v>
      </x:c>
      <x:c r="G11" s="67" t="str">
        <x:v>35/45/60</x:v>
      </x:c>
      <x:c r="H11" s="67" t="str">
        <x:v>自然关节、指甲和劳作痕迹</x:v>
      </x:c>
      <x:c r="I11" s="67" t="str">
        <x:v>—</x:v>
      </x:c>
      <x:c r="J11" s="67" t="str">
        <x:v>—</x:v>
      </x:c>
      <x:c r="K11" s="67" t="str">
        <x:v>—</x:v>
      </x:c>
      <x:c r="L11" s="67" t="str">
        <x:v>TZG60 右食指轻茧；无首饰</x:v>
      </x:c>
      <x:c r="M11" s="67" t="str">
        <x:v>随镜头袖口</x:v>
      </x:c>
      <x:c r="N11" s="67" t="str">
        <x:v>左右手、掌心方向和袖口必须可追踪</x:v>
      </x:c>
      <x:c r="O11" s="67" t="str">
        <x:v>三龄手部正背侧、六类接触姿态</x:v>
      </x:c>
      <x:c r="P11" s="67" t="str">
        <x:v>P0</x:v>
      </x:c>
      <x:c r="Q11" s="67" t="str">
        <x:v>未开始</x:v>
      </x:c>
    </x:row>
  </x:sheetData>
  <x:mergeCells>
    <x:mergeCell ref="A1:Q1"/>
    <x:mergeCell ref="A2:Q2"/>
  </x:mergeCells>
  <x:conditionalFormatting sqref="P5:P11">
    <x:cfRule type="containsText" dxfId="5" priority="1" operator="containsText" text="P0"/>
    <x:cfRule type="containsText" dxfId="6" priority="2" operator="containsText" text="P1"/>
    <x:cfRule type="containsText" dxfId="7" priority="3" operator="containsText" text="P2"/>
  </x:conditionalFormatting>
  <x:conditionalFormatting sqref="Q5:Q11">
    <x:cfRule type="containsText" dxfId="8" priority="4" operator="containsText" text="已通过"/>
    <x:cfRule type="containsText" dxfId="9" priority="5" operator="containsText" text="进行中"/>
    <x:cfRule type="containsText" dxfId="10" priority="6" operator="containsText" text="阻塞"/>
    <x:cfRule type="containsText" dxfId="11" priority="7" operator="containsText" text="未开始"/>
    <x:cfRule type="containsText" dxfId="12" priority="8" operator="containsText" text="待检查"/>
  </x:conditionalFormatting>
  <x:dataValidations count="2">
    <x:dataValidation type="list" sqref="P5:P11">
      <x:formula1>"P0,P1,P2"</x:formula1>
    </x:dataValidation>
    <x:dataValidation type="list" sqref="Q5:Q11">
      <x:formula1>"未开始,进行中,待检查,已通过,阻塞"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8b49baad4f44e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6" hidden="0" customWidth="1"/>
    <x:col min="3" max="3" width="13" hidden="0" customWidth="1"/>
    <x:col min="4" max="4" width="20" hidden="0" customWidth="1"/>
    <x:col min="5" max="5" width="22" hidden="0" customWidth="1"/>
    <x:col min="6" max="6" width="26" hidden="0" customWidth="1"/>
    <x:col min="7" max="7" width="38" hidden="0" customWidth="1"/>
    <x:col min="8" max="8" width="24" hidden="0" customWidth="1"/>
    <x:col min="9" max="9" width="26" hidden="0" customWidth="1"/>
    <x:col min="10" max="10" width="20" hidden="0" customWidth="1"/>
    <x:col min="11" max="11" width="28" hidden="0" customWidth="1"/>
    <x:col min="12" max="12" width="32" hidden="0" customWidth="1"/>
    <x:col min="13" max="13" width="14" hidden="0" customWidth="1"/>
    <x:col min="14" max="14" width="30" hidden="0" customWidth="1"/>
    <x:col min="15" max="15" width="38" hidden="0" customWidth="1"/>
    <x:col min="16" max="16" width="10" hidden="0" customWidth="1"/>
    <x:col min="17" max="17" width="12" hidden="0" customWidth="1"/>
  </x:cols>
  <x:sheetData>
    <x:row r="1" ht="30" customHeight="1">
      <x:c r="A1" s="3" t="str">
        <x:v>02｜服装状态与依赖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2" customHeight="1">
      <x:c r="A2" s="7" t="str">
        <x:v>文档中的“四套角色服装包”已拆为可执行状态；FL45 三态必须分开，TZG60 夏季轻装为导演建议项。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3">
      <x:c r="A3" s="70"/>
      <x:c r="B3" s="70"/>
      <x:c r="C3" s="70"/>
      <x:c r="D3" s="70"/>
      <x:c r="E3" s="70"/>
      <x:c r="F3" s="70"/>
      <x:c r="G3" s="70"/>
      <x:c r="H3" s="70"/>
      <x:c r="I3" s="70"/>
      <x:c r="J3" s="70"/>
      <x:c r="K3" s="70"/>
      <x:c r="L3" s="70"/>
      <x:c r="M3" s="70"/>
      <x:c r="N3" s="70"/>
      <x:c r="O3" s="70"/>
      <x:c r="P3" s="70"/>
      <x:c r="Q3" s="70"/>
    </x:row>
    <x:row r="4" ht="34" customHeight="1">
      <x:c r="A4" s="58" t="str">
        <x:v>Costume State ID</x:v>
      </x:c>
      <x:c r="B4" s="59" t="str">
        <x:v>Canonical Tag</x:v>
      </x:c>
      <x:c r="C4" s="59" t="str">
        <x:v>角色</x:v>
      </x:c>
      <x:c r="D4" s="59" t="str">
        <x:v>定义来源</x:v>
      </x:c>
      <x:c r="E4" s="59" t="str">
        <x:v>阶段/用途</x:v>
      </x:c>
      <x:c r="F4" s="59" t="str">
        <x:v>镜头覆盖</x:v>
      </x:c>
      <x:c r="G4" s="59" t="str">
        <x:v>轮廓与层次</x:v>
      </x:c>
      <x:c r="H4" s="59" t="str">
        <x:v>主材质</x:v>
      </x:c>
      <x:c r="I4" s="59" t="str">
        <x:v>主色</x:v>
      </x:c>
      <x:c r="J4" s="59" t="str">
        <x:v>领襟</x:v>
      </x:c>
      <x:c r="K4" s="59" t="str">
        <x:v>腰带/袖口</x:v>
      </x:c>
      <x:c r="L4" s="59" t="str">
        <x:v>天气/磨损</x:v>
      </x:c>
      <x:c r="M4" s="59" t="str">
        <x:v>父身份</x:v>
      </x:c>
      <x:c r="N4" s="59" t="str">
        <x:v>依赖</x:v>
      </x:c>
      <x:c r="O4" s="59" t="str">
        <x:v>导演裁决</x:v>
      </x:c>
      <x:c r="P4" s="59" t="str">
        <x:v>优先级</x:v>
      </x:c>
      <x:c r="Q4" s="60" t="str">
        <x:v>状态</x:v>
      </x:c>
    </x:row>
    <x:row r="5" ht="42" customHeight="1">
      <x:c r="A5" s="66" t="str">
        <x:v>CST_FL35_YUE_RAIN</x:v>
      </x:c>
      <x:c r="B5" s="66" t="str">
        <x:v>@CST_FL35_YUE_RAIN</x:v>
      </x:c>
      <x:c r="C5" s="66" t="str">
        <x:v>@FL35</x:v>
      </x:c>
      <x:c r="D5" s="66" t="str">
        <x:v>文档定义</x:v>
      </x:c>
      <x:c r="E5" s="66" t="str">
        <x:v>会稽雨廊</x:v>
      </x:c>
      <x:c r="F5" s="66" t="str">
        <x:v>S02-04–S02-06</x:v>
      </x:c>
      <x:c r="G5" s="66" t="str">
        <x:v>灰绿交领右衽长衣+烟灰内层+短深褐雨披</x:v>
      </x:c>
      <x:c r="H5" s="66" t="str">
        <x:v>苎麻/麻布</x:v>
      </x:c>
      <x:c r="I5" s="66" t="str">
        <x:v>灰绿、烟灰、暗赭、深褐</x:v>
      </x:c>
      <x:c r="J5" s="66" t="str">
        <x:v>交领右衽，禁镜像</x:v>
      </x:c>
      <x:c r="K5" s="66" t="str">
        <x:v>暗赭细带；袖型固定</x:v>
      </x:c>
      <x:c r="L5" s="66" t="str">
        <x:v>右肩吸水更深；衣摆泥点；边缘磨损</x:v>
      </x:c>
      <x:c r="M5" s="66" t="str">
        <x:v>@FL35</x:v>
      </x:c>
      <x:c r="N5" s="66" t="str">
        <x:v>FL35 根身份通过</x:v>
      </x:c>
      <x:c r="O5" s="66" t="str">
        <x:v>无</x:v>
      </x:c>
      <x:c r="P5" s="66" t="str">
        <x:v>P0</x:v>
      </x:c>
      <x:c r="Q5" s="66" t="str">
        <x:v>未开始</x:v>
      </x:c>
    </x:row>
    <x:row r="6" ht="42" customHeight="1">
      <x:c r="A6" s="67" t="str">
        <x:v>CST_FL45_YUE_DEPART</x:v>
      </x:c>
      <x:c r="B6" s="67" t="str">
        <x:v>@CST_FL45_YUE_DEPART</x:v>
      </x:c>
      <x:c r="C6" s="67" t="str">
        <x:v>@FL45</x:v>
      </x:c>
      <x:c r="D6" s="67" t="str">
        <x:v>文档定义</x:v>
      </x:c>
      <x:c r="E6" s="67" t="str">
        <x:v>功成离越</x:v>
      </x:c>
      <x:c r="F6" s="67" t="str">
        <x:v>S03-02–S03-06</x:v>
      </x:c>
      <x:c r="G6" s="67" t="str">
        <x:v>墨褐细织长衣+暗朱内缘+灰褐旅行披衣</x:v>
      </x:c>
      <x:c r="H6" s="67" t="str">
        <x:v>细织麻/少量丝</x:v>
      </x:c>
      <x:c r="I6" s="67" t="str">
        <x:v>墨褐、暗朱、灰褐</x:v>
      </x:c>
      <x:c r="J6" s="67" t="str">
        <x:v>交领右衽</x:v>
      </x:c>
      <x:c r="K6" s="67" t="str">
        <x:v>深褐带结固定</x:v>
      </x:c>
      <x:c r="L6" s="67" t="str">
        <x:v>晨雾湿气；旅行磨损</x:v>
      </x:c>
      <x:c r="M6" s="67" t="str">
        <x:v>@FL45</x:v>
      </x:c>
      <x:c r="N6" s="67" t="str">
        <x:v>三龄校准通过</x:v>
      </x:c>
      <x:c r="O6" s="67" t="str">
        <x:v>S03 全段保持同一套</x:v>
      </x:c>
      <x:c r="P6" s="67" t="str">
        <x:v>P0</x:v>
      </x:c>
      <x:c r="Q6" s="67" t="str">
        <x:v>未开始</x:v>
      </x:c>
    </x:row>
    <x:row r="7" ht="42" customHeight="1">
      <x:c r="A7" s="67" t="str">
        <x:v>CST_FL45_QI_WORK</x:v>
      </x:c>
      <x:c r="B7" s="67" t="str">
        <x:v>@CST_FL45_QI_WORK</x:v>
      </x:c>
      <x:c r="C7" s="67" t="str">
        <x:v>@FL45</x:v>
      </x:c>
      <x:c r="D7" s="67" t="str">
        <x:v>文档定义</x:v>
      </x:c>
      <x:c r="E7" s="67" t="str">
        <x:v>齐地劳作/分财/再次离开</x:v>
      </x:c>
      <x:c r="F7" s="67" t="str">
        <x:v>S04-01、02、07、08</x:v>
      </x:c>
      <x:c r="G7" s="67" t="str">
        <x:v>米灰苎麻工作衣；袖口细绳收束</x:v>
      </x:c>
      <x:c r="H7" s="67" t="str">
        <x:v>苎麻粗织</x:v>
      </x:c>
      <x:c r="I7" s="67" t="str">
        <x:v>米灰、土黄、深褐</x:v>
      </x:c>
      <x:c r="J7" s="67" t="str">
        <x:v>交领右衽</x:v>
      </x:c>
      <x:c r="K7" s="67" t="str">
        <x:v>深褐腰带；袖口束绳</x:v>
      </x:c>
      <x:c r="L7" s="67" t="str">
        <x:v>海盐风、日晒、劳作磨损</x:v>
      </x:c>
      <x:c r="M7" s="67" t="str">
        <x:v>@FL45</x:v>
      </x:c>
      <x:c r="N7" s="67" t="str">
        <x:v>齐地场景与农具通过</x:v>
      </x:c>
      <x:c r="O7" s="67" t="str">
        <x:v>S04-08 是否加小行囊由镜头决定</x:v>
      </x:c>
      <x:c r="P7" s="67" t="str">
        <x:v>P0</x:v>
      </x:c>
      <x:c r="Q7" s="67" t="str">
        <x:v>未开始</x:v>
      </x:c>
    </x:row>
    <x:row r="8" ht="42" customHeight="1">
      <x:c r="A8" s="67" t="str">
        <x:v>CST_FL45_QI_ENVOY</x:v>
      </x:c>
      <x:c r="B8" s="67" t="str">
        <x:v>@CST_FL45_QI_ENVOY</x:v>
      </x:c>
      <x:c r="C8" s="67" t="str">
        <x:v>@FL45</x:v>
      </x:c>
      <x:c r="D8" s="67" t="str">
        <x:v>文档定义</x:v>
      </x:c>
      <x:c r="E8" s="67" t="str">
        <x:v>使者会面连续段</x:v>
      </x:c>
      <x:c r="F8" s="67" t="str">
        <x:v>S04-03–S04-06</x:v>
      </x:c>
      <x:c r="G8" s="67" t="str">
        <x:v>较整洁深灰外衣，不奢华</x:v>
      </x:c>
      <x:c r="H8" s="67" t="str">
        <x:v>细织麻/苎麻</x:v>
      </x:c>
      <x:c r="I8" s="67" t="str">
        <x:v>深灰、米灰、暗朱少量</x:v>
      </x:c>
      <x:c r="J8" s="67" t="str">
        <x:v>交领右衽</x:v>
      </x:c>
      <x:c r="K8" s="67" t="str">
        <x:v>带结位置固定；袖口整洁</x:v>
      </x:c>
      <x:c r="L8" s="67" t="str">
        <x:v>干态、轻海风</x:v>
      </x:c>
      <x:c r="M8" s="67" t="str">
        <x:v>@FL45</x:v>
      </x:c>
      <x:c r="N8" s="67" t="str">
        <x:v>齐地工作衣与使者资产通过</x:v>
      </x:c>
      <x:c r="O8" s="67" t="str">
        <x:v>整段保持同衣；不得镜中突然换装</x:v>
      </x:c>
      <x:c r="P8" s="67" t="str">
        <x:v>P0</x:v>
      </x:c>
      <x:c r="Q8" s="67" t="str">
        <x:v>未开始</x:v>
      </x:c>
    </x:row>
    <x:row r="9" ht="42" customHeight="1">
      <x:c r="A9" s="67" t="str">
        <x:v>CST_TZG60_TAO_BASE</x:v>
      </x:c>
      <x:c r="B9" s="67" t="str">
        <x:v>@CST_TZG60_TAO_BASE</x:v>
      </x:c>
      <x:c r="C9" s="67" t="str">
        <x:v>@TZG60</x:v>
      </x:c>
      <x:c r="D9" s="67" t="str">
        <x:v>文档定义</x:v>
      </x:c>
      <x:c r="E9" s="67" t="str">
        <x:v>陶地常服/秋季/仓廪</x:v>
      </x:c>
      <x:c r="F9" s="67" t="str">
        <x:v>S05-02、05、07、S06-01、02、04</x:v>
      </x:c>
      <x:c r="G9" s="67" t="str">
        <x:v>深茶褐细织长衣+暖赭内层</x:v>
      </x:c>
      <x:c r="H9" s="67" t="str">
        <x:v>细织麻/少量丝</x:v>
      </x:c>
      <x:c r="I9" s="67" t="str">
        <x:v>深茶褐、暖赭、黑褐</x:v>
      </x:c>
      <x:c r="J9" s="67" t="str">
        <x:v>交领右衽</x:v>
      </x:c>
      <x:c r="K9" s="67" t="str">
        <x:v>黑褐中宽布带；结位固定</x:v>
      </x:c>
      <x:c r="L9" s="67" t="str">
        <x:v>袖口/衣摆真实使用痕迹</x:v>
      </x:c>
      <x:c r="M9" s="67" t="str">
        <x:v>@TZG60</x:v>
      </x:c>
      <x:c r="N9" s="67" t="str">
        <x:v>三龄校准通过</x:v>
      </x:c>
      <x:c r="O9" s="67" t="str">
        <x:v>作为主英雄服装</x:v>
      </x:c>
      <x:c r="P9" s="67" t="str">
        <x:v>P0</x:v>
      </x:c>
      <x:c r="Q9" s="67" t="str">
        <x:v>未开始</x:v>
      </x:c>
    </x:row>
    <x:row r="10" ht="42" customHeight="1">
      <x:c r="A10" s="67" t="str">
        <x:v>CST_TZG60_TAO_CLOAK</x:v>
      </x:c>
      <x:c r="B10" s="67" t="str">
        <x:v>@CST_TZG60_TAO_CLOAK</x:v>
      </x:c>
      <x:c r="C10" s="67" t="str">
        <x:v>@TZG60</x:v>
      </x:c>
      <x:c r="D10" s="67" t="str">
        <x:v>文档定义</x:v>
      </x:c>
      <x:c r="E10" s="67" t="str">
        <x:v>外出/冬季市场</x:v>
      </x:c>
      <x:c r="F10" s="67" t="str">
        <x:v>S05-08–S05-10</x:v>
      </x:c>
      <x:c r="G10" s="67" t="str">
        <x:v>常服外加暗灰斗篷</x:v>
      </x:c>
      <x:c r="H10" s="67" t="str">
        <x:v>粗织麻/毛感披衣</x:v>
      </x:c>
      <x:c r="I10" s="67" t="str">
        <x:v>暗灰、深茶褐、暖赭</x:v>
      </x:c>
      <x:c r="J10" s="67" t="str">
        <x:v>内层右衽保持可见</x:v>
      </x:c>
      <x:c r="K10" s="67" t="str">
        <x:v>带结与斗篷固定点记录</x:v>
      </x:c>
      <x:c r="L10" s="67" t="str">
        <x:v>冬季干冷；不过度破旧</x:v>
      </x:c>
      <x:c r="M10" s="67" t="str">
        <x:v>@TZG60</x:v>
      </x:c>
      <x:c r="N10" s="67" t="str">
        <x:v>常服通过</x:v>
      </x:c>
      <x:c r="O10" s="67" t="str">
        <x:v>冬季三镜保持连续</x:v>
      </x:c>
      <x:c r="P10" s="67" t="str">
        <x:v>P1</x:v>
      </x:c>
      <x:c r="Q10" s="67" t="str">
        <x:v>未开始</x:v>
      </x:c>
    </x:row>
    <x:row r="11" ht="42" customHeight="1">
      <x:c r="A11" s="67" t="str">
        <x:v>CST_TZG60_SUMMER_LIGHT</x:v>
      </x:c>
      <x:c r="B11" s="67" t="str">
        <x:v>@CST_TZG60_SUMMER_LIGHT</x:v>
      </x:c>
      <x:c r="C11" s="67" t="str">
        <x:v>@TZG60</x:v>
      </x:c>
      <x:c r="D11" s="67" t="str">
        <x:v>导演建议（需确认）</x:v>
      </x:c>
      <x:c r="E11" s="67" t="str">
        <x:v>夏季高水/舟运</x:v>
      </x:c>
      <x:c r="F11" s="67" t="str">
        <x:v>S05-06</x:v>
      </x:c>
      <x:c r="G11" s="67" t="str">
        <x:v>保留同款轮廓，减薄外层并束袖</x:v>
      </x:c>
      <x:c r="H11" s="67" t="str">
        <x:v>轻苎麻</x:v>
      </x:c>
      <x:c r="I11" s="67" t="str">
        <x:v>茶褐偏冷、灰褐</x:v>
      </x:c>
      <x:c r="J11" s="67" t="str">
        <x:v>交领右衽</x:v>
      </x:c>
      <x:c r="K11" s="67" t="str">
        <x:v>腰带结不变；袖口收束</x:v>
      </x:c>
      <x:c r="L11" s="67" t="str">
        <x:v>潮湿、衣摆向右受风</x:v>
      </x:c>
      <x:c r="M11" s="67" t="str">
        <x:v>@TZG60</x:v>
      </x:c>
      <x:c r="N11" s="67" t="str">
        <x:v>常服通过</x:v>
      </x:c>
      <x:c r="O11" s="67" t="str">
        <x:v>是否新增独立夏装；未确认前不得自行换装</x:v>
      </x:c>
      <x:c r="P11" s="67" t="str">
        <x:v>P1</x:v>
      </x:c>
      <x:c r="Q11" s="67" t="str">
        <x:v>未开始</x:v>
      </x:c>
    </x:row>
    <x:row r="12" ht="42" customHeight="1">
      <x:c r="A12" s="67" t="str">
        <x:v>CST_STATUE_LATER_ROBE</x:v>
      </x:c>
      <x:c r="B12" s="67" t="str">
        <x:v>@CST_STATUE_LATER_ROBE</x:v>
      </x:c>
      <x:c r="C12" s="67" t="str">
        <x:v>@STATUE</x:v>
      </x:c>
      <x:c r="D12" s="67" t="str">
        <x:v>用户权威参考</x:v>
      </x:c>
      <x:c r="E12" s="67" t="str">
        <x:v>后世财神庙首尾</x:v>
      </x:c>
      <x:c r="F12" s="67" t="str">
        <x:v>S01-01–03、S07-01、04</x:v>
      </x:c>
      <x:c r="G12" s="67" t="str">
        <x:v>正面直立；大红官式神袍；胸前金色盘龙与蓝色云纹</x:v>
      </x:c>
      <x:c r="H12" s="67" t="str">
        <x:v>雕塑衣纹+彩绘表面；老化仅作可替换表面层</x:v>
      </x:c>
      <x:c r="I12" s="67" t="str">
        <x:v>大红、金、蓝、黑金</x:v>
      </x:c>
      <x:c r="J12" s="67" t="str">
        <x:v>红色高冠、左右横展金色冠翅；官袍结构不得改变</x:v>
      </x:c>
      <x:c r="K12" s="67" t="str">
        <x:v>黑金腰带与黑金中央垂饰固定</x:v>
      </x:c>
      <x:c r="L12" s="67" t="str">
        <x:v>表面烟熏/裂纹/掉漆程度待导演裁决；不得覆盖核心纹样</x:v>
      </x:c>
      <x:c r="M12" s="67" t="str">
        <x:v>@STATUE</x:v>
      </x:c>
      <x:c r="N12" s="67" t="str">
        <x:v>“财神正面.png”挂载并登记</x:v>
      </x:c>
      <x:c r="O12" s="67" t="str">
        <x:v>禁坐像、禁左卷册/右手置膝；禁更换龙纹、双手物件和蓝色海浪纹圆座</x:v>
      </x:c>
      <x:c r="P12" s="67" t="str">
        <x:v>P0</x:v>
      </x:c>
      <x:c r="Q12" s="67" t="str">
        <x:v>阻塞</x:v>
      </x:c>
    </x:row>
  </x:sheetData>
  <x:mergeCells>
    <x:mergeCell ref="A1:Q1"/>
    <x:mergeCell ref="A2:Q2"/>
  </x:mergeCells>
  <x:conditionalFormatting sqref="P5:P12">
    <x:cfRule type="containsText" dxfId="13" priority="1" operator="containsText" text="P0"/>
    <x:cfRule type="containsText" dxfId="14" priority="2" operator="containsText" text="P1"/>
    <x:cfRule type="containsText" dxfId="15" priority="3" operator="containsText" text="P2"/>
  </x:conditionalFormatting>
  <x:conditionalFormatting sqref="Q5:Q12">
    <x:cfRule type="containsText" dxfId="16" priority="4" operator="containsText" text="已通过"/>
    <x:cfRule type="containsText" dxfId="17" priority="5" operator="containsText" text="进行中"/>
    <x:cfRule type="containsText" dxfId="18" priority="6" operator="containsText" text="阻塞"/>
    <x:cfRule type="containsText" dxfId="19" priority="7" operator="containsText" text="未开始"/>
    <x:cfRule type="containsText" dxfId="20" priority="8" operator="containsText" text="待检查"/>
  </x:conditionalFormatting>
  <x:dataValidations count="2">
    <x:dataValidation type="list" sqref="P5:P12">
      <x:formula1>"P0,P1,P2"</x:formula1>
    </x:dataValidation>
    <x:dataValidation type="list" sqref="Q5:Q12">
      <x:formula1>"未开始,进行中,待检查,已通过,阻塞"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15d6d47938436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14" hidden="0" customWidth="1"/>
    <x:col min="4" max="4" width="11" hidden="0" customWidth="1"/>
    <x:col min="5" max="5" width="34" hidden="0" customWidth="1"/>
    <x:col min="6" max="6" width="24" hidden="0" customWidth="1"/>
    <x:col min="7" max="7" width="28" hidden="0" customWidth="1"/>
    <x:col min="8" max="8" width="11" hidden="0" customWidth="1"/>
    <x:col min="9" max="9" width="22" hidden="0" customWidth="1"/>
    <x:col min="10" max="10" width="20" hidden="0" customWidth="1"/>
    <x:col min="11" max="11" width="20" hidden="0" customWidth="1"/>
    <x:col min="12" max="12" width="28" hidden="0" customWidth="1"/>
    <x:col min="13" max="13" width="10" hidden="0" customWidth="1"/>
    <x:col min="14" max="14" width="26" hidden="0" customWidth="1"/>
    <x:col min="15" max="15" width="38" hidden="0" customWidth="1"/>
    <x:col min="16" max="16" width="10" hidden="0" customWidth="1"/>
    <x:col min="17" max="17" width="12" hidden="0" customWidth="1"/>
  </x:cols>
  <x:sheetData>
    <x:row r="1" ht="30" customHeight="1">
      <x:c r="A1" s="3" t="str">
        <x:v>03｜表情与手势动作板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2" customHeight="1">
      <x:c r="A2" s="7" t="str">
        <x:v>每张只解决一个动作与一个起止状态；手部高接触动作必须先有正确静帧，再进入视频。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3">
      <x:c r="A3" s="70"/>
      <x:c r="B3" s="70"/>
      <x:c r="C3" s="70"/>
      <x:c r="D3" s="70"/>
      <x:c r="E3" s="70"/>
      <x:c r="F3" s="70"/>
      <x:c r="G3" s="70"/>
      <x:c r="H3" s="70"/>
      <x:c r="I3" s="70"/>
      <x:c r="J3" s="70"/>
      <x:c r="K3" s="70"/>
      <x:c r="L3" s="70"/>
      <x:c r="M3" s="70"/>
      <x:c r="N3" s="70"/>
      <x:c r="O3" s="70"/>
      <x:c r="P3" s="70"/>
      <x:c r="Q3" s="70"/>
    </x:row>
    <x:row r="4" ht="34" customHeight="1">
      <x:c r="A4" s="58" t="str">
        <x:v>Action ID</x:v>
      </x:c>
      <x:c r="B4" s="59" t="str">
        <x:v>Canonical Tag</x:v>
      </x:c>
      <x:c r="C4" s="59" t="str">
        <x:v>角色</x:v>
      </x:c>
      <x:c r="D4" s="59" t="str">
        <x:v>类别</x:v>
      </x:c>
      <x:c r="E4" s="59" t="str">
        <x:v>动作定义</x:v>
      </x:c>
      <x:c r="F4" s="59" t="str">
        <x:v>起始状态</x:v>
      </x:c>
      <x:c r="G4" s="59" t="str">
        <x:v>结束状态</x:v>
      </x:c>
      <x:c r="H4" s="59" t="str">
        <x:v>手别</x:v>
      </x:c>
      <x:c r="I4" s="59" t="str">
        <x:v>交互对象</x:v>
      </x:c>
      <x:c r="J4" s="59" t="str">
        <x:v>道具标签</x:v>
      </x:c>
      <x:c r="K4" s="59" t="str">
        <x:v>镜头</x:v>
      </x:c>
      <x:c r="L4" s="59" t="str">
        <x:v>服装状态</x:v>
      </x:c>
      <x:c r="M4" s="59" t="str">
        <x:v>风险</x:v>
      </x:c>
      <x:c r="N4" s="59" t="str">
        <x:v>生成方式</x:v>
      </x:c>
      <x:c r="O4" s="59" t="str">
        <x:v>验收重点</x:v>
      </x:c>
      <x:c r="P4" s="59" t="str">
        <x:v>优先级</x:v>
      </x:c>
      <x:c r="Q4" s="60" t="str">
        <x:v>状态</x:v>
      </x:c>
    </x:row>
    <x:row r="5" ht="42" customHeight="1">
      <x:c r="A5" s="66" t="str">
        <x:v>EXP_FL35_OBSERVE</x:v>
      </x:c>
      <x:c r="B5" s="66" t="str">
        <x:v>@EXP_FL35_OBSERVE</x:v>
      </x:c>
      <x:c r="C5" s="66" t="str">
        <x:v>@FL35</x:v>
      </x:c>
      <x:c r="D5" s="66" t="str">
        <x:v>表情</x:v>
      </x:c>
      <x:c r="E5" s="66" t="str">
        <x:v>中性观察</x:v>
      </x:c>
      <x:c r="F5" s="66" t="str">
        <x:v>平静直视画外</x:v>
      </x:c>
      <x:c r="G5" s="66" t="str">
        <x:v>目光完成判断</x:v>
      </x:c>
      <x:c r="H5" s="66" t="str">
        <x:v>—</x:v>
      </x:c>
      <x:c r="I5" s="66" t="str">
        <x:v>雨/士卒</x:v>
      </x:c>
      <x:c r="J5" s="66" t="str">
        <x:v>—</x:v>
      </x:c>
      <x:c r="K5" s="66" t="str">
        <x:v>S02-04</x:v>
      </x:c>
      <x:c r="L5" s="66" t="str">
        <x:v>@CST_FL35_YUE_RAIN</x:v>
      </x:c>
      <x:c r="M5" s="66" t="str">
        <x:v>中</x:v>
      </x:c>
      <x:c r="N5" s="66" t="str">
        <x:v>头肩表情板</x:v>
      </x:c>
      <x:c r="O5" s="66" t="str">
        <x:v>不皱眉、不英雄化；眉尾断点保留</x:v>
      </x:c>
      <x:c r="P5" s="66" t="str">
        <x:v>P0</x:v>
      </x:c>
      <x:c r="Q5" s="66" t="str">
        <x:v>未开始</x:v>
      </x:c>
    </x:row>
    <x:row r="6" ht="42" customHeight="1">
      <x:c r="A6" s="67" t="str">
        <x:v>EXP_FL35_EYES_UP</x:v>
      </x:c>
      <x:c r="B6" s="67" t="str">
        <x:v>@EXP_FL35_EYES_UP</x:v>
      </x:c>
      <x:c r="C6" s="67" t="str">
        <x:v>@FL35</x:v>
      </x:c>
      <x:c r="D6" s="67" t="str">
        <x:v>表情</x:v>
      </x:c>
      <x:c r="E6" s="67" t="str">
        <x:v>轻微抬眼</x:v>
      </x:c>
      <x:c r="F6" s="67" t="str">
        <x:v>目光低平</x:v>
      </x:c>
      <x:c r="G6" s="67" t="str">
        <x:v>仅眼球与眼睑抬起</x:v>
      </x:c>
      <x:c r="H6" s="67" t="str">
        <x:v>—</x:v>
      </x:c>
      <x:c r="I6" s="67" t="str">
        <x:v>倒影</x:v>
      </x:c>
      <x:c r="J6" s="67" t="str">
        <x:v>@P19</x:v>
      </x:c>
      <x:c r="K6" s="67" t="str">
        <x:v>S02-06</x:v>
      </x:c>
      <x:c r="L6" s="67" t="str">
        <x:v>@CST_FL35_YUE_RAIN</x:v>
      </x:c>
      <x:c r="M6" s="67" t="str">
        <x:v>高</x:v>
      </x:c>
      <x:c r="N6" s="67" t="str">
        <x:v>正脸/倒影分层</x:v>
      </x:c>
      <x:c r="O6" s="67" t="str">
        <x:v>脸不扭曲；头骨与倒影稳定</x:v>
      </x:c>
      <x:c r="P6" s="67" t="str">
        <x:v>P1</x:v>
      </x:c>
      <x:c r="Q6" s="67" t="str">
        <x:v>未开始</x:v>
      </x:c>
    </x:row>
    <x:row r="7" ht="42" customHeight="1">
      <x:c r="A7" s="67" t="str">
        <x:v>EXP_FL35_CHIN_IN</x:v>
      </x:c>
      <x:c r="B7" s="67" t="str">
        <x:v>@EXP_FL35_CHIN_IN</x:v>
      </x:c>
      <x:c r="C7" s="67" t="str">
        <x:v>@FL35</x:v>
      </x:c>
      <x:c r="D7" s="67" t="str">
        <x:v>表情</x:v>
      </x:c>
      <x:c r="E7" s="67" t="str">
        <x:v>收下巴、平静呼吸</x:v>
      </x:c>
      <x:c r="F7" s="67" t="str">
        <x:v>自然站姿</x:v>
      </x:c>
      <x:c r="G7" s="67" t="str">
        <x:v>下巴轻收</x:v>
      </x:c>
      <x:c r="H7" s="67" t="str">
        <x:v>—</x:v>
      </x:c>
      <x:c r="I7" s="67" t="str">
        <x:v>竹简</x:v>
      </x:c>
      <x:c r="J7" s="67" t="str">
        <x:v>@P04</x:v>
      </x:c>
      <x:c r="K7" s="67" t="str">
        <x:v>S02-04</x:v>
      </x:c>
      <x:c r="L7" s="67" t="str">
        <x:v>@CST_FL35_YUE_RAIN</x:v>
      </x:c>
      <x:c r="M7" s="67" t="str">
        <x:v>低</x:v>
      </x:c>
      <x:c r="N7" s="67" t="str">
        <x:v>表情板</x:v>
      </x:c>
      <x:c r="O7" s="67" t="str">
        <x:v>动作幅度克制</x:v>
      </x:c>
      <x:c r="P7" s="67" t="str">
        <x:v>P1</x:v>
      </x:c>
      <x:c r="Q7" s="67" t="str">
        <x:v>未开始</x:v>
      </x:c>
    </x:row>
    <x:row r="8" ht="42" customHeight="1">
      <x:c r="A8" s="67" t="str">
        <x:v>HND_FL35_BAMBOO_STOP</x:v>
      </x:c>
      <x:c r="B8" s="67" t="str">
        <x:v>@HND_FL35_BAMBOO_STOP</x:v>
      </x:c>
      <x:c r="C8" s="67" t="str">
        <x:v>@FL35</x:v>
      </x:c>
      <x:c r="D8" s="67" t="str">
        <x:v>手势</x:v>
      </x:c>
      <x:c r="E8" s="67" t="str">
        <x:v>食指触竹简但不翻</x:v>
      </x:c>
      <x:c r="F8" s="67" t="str">
        <x:v>手离竹简</x:v>
      </x:c>
      <x:c r="G8" s="67" t="str">
        <x:v>食指在边缘停止</x:v>
      </x:c>
      <x:c r="H8" s="67" t="str">
        <x:v>右手</x:v>
      </x:c>
      <x:c r="I8" s="67" t="str">
        <x:v>竹简</x:v>
      </x:c>
      <x:c r="J8" s="67" t="str">
        <x:v>@P04</x:v>
      </x:c>
      <x:c r="K8" s="67" t="str">
        <x:v>S02-05</x:v>
      </x:c>
      <x:c r="L8" s="67" t="str">
        <x:v>@CST_FL35_YUE_RAIN</x:v>
      </x:c>
      <x:c r="M8" s="67" t="str">
        <x:v>高</x:v>
      </x:c>
      <x:c r="N8" s="67" t="str">
        <x:v>单手接触板</x:v>
      </x:c>
      <x:c r="O8" s="67" t="str">
        <x:v>五指正确；湿竹片不自行翻动</x:v>
      </x:c>
      <x:c r="P8" s="67" t="str">
        <x:v>P0</x:v>
      </x:c>
      <x:c r="Q8" s="67" t="str">
        <x:v>未开始</x:v>
      </x:c>
    </x:row>
    <x:row r="9" ht="42" customHeight="1">
      <x:c r="A9" s="67" t="str">
        <x:v>EXP_FL45_PATH_DECISION</x:v>
      </x:c>
      <x:c r="B9" s="67" t="str">
        <x:v>@EXP_FL45_PATH_DECISION</x:v>
      </x:c>
      <x:c r="C9" s="67" t="str">
        <x:v>@FL45</x:v>
      </x:c>
      <x:c r="D9" s="67" t="str">
        <x:v>表情</x:v>
      </x:c>
      <x:c r="E9" s="67" t="str">
        <x:v>看庆功人群后转向暗路</x:v>
      </x:c>
      <x:c r="F9" s="67" t="str">
        <x:v>看人群</x:v>
      </x:c>
      <x:c r="G9" s="67" t="str">
        <x:v>目光/下巴转向水岸</x:v>
      </x:c>
      <x:c r="H9" s="67" t="str">
        <x:v>—</x:v>
      </x:c>
      <x:c r="I9" s="67" t="str">
        <x:v>人群/道路</x:v>
      </x:c>
      <x:c r="J9" s="67" t="str">
        <x:v>—</x:v>
      </x:c>
      <x:c r="K9" s="67" t="str">
        <x:v>S03-02</x:v>
      </x:c>
      <x:c r="L9" s="67" t="str">
        <x:v>@CST_FL45_YUE_DEPART</x:v>
      </x:c>
      <x:c r="M9" s="67" t="str">
        <x:v>中</x:v>
      </x:c>
      <x:c r="N9" s="67" t="str">
        <x:v>双状态表情板</x:v>
      </x:c>
      <x:c r="O9" s="67" t="str">
        <x:v>无微笑、无皱眉、年龄稳定</x:v>
      </x:c>
      <x:c r="P9" s="67" t="str">
        <x:v>P0</x:v>
      </x:c>
      <x:c r="Q9" s="67" t="str">
        <x:v>未开始</x:v>
      </x:c>
    </x:row>
    <x:row r="10" ht="42" customHeight="1">
      <x:c r="A10" s="67" t="str">
        <x:v>EXP_FL45_SEAL_DECISION</x:v>
      </x:c>
      <x:c r="B10" s="67" t="str">
        <x:v>@EXP_FL45_SEAL_DECISION</x:v>
      </x:c>
      <x:c r="C10" s="67" t="str">
        <x:v>@FL45</x:v>
      </x:c>
      <x:c r="D10" s="67" t="str">
        <x:v>表情</x:v>
      </x:c>
      <x:c r="E10" s="67" t="str">
        <x:v>看印信后收手</x:v>
      </x:c>
      <x:c r="F10" s="67" t="str">
        <x:v>视线落印信</x:v>
      </x:c>
      <x:c r="G10" s="67" t="str">
        <x:v>看自己的手并收回袖中</x:v>
      </x:c>
      <x:c r="H10" s="67" t="str">
        <x:v>—</x:v>
      </x:c>
      <x:c r="I10" s="67" t="str">
        <x:v>印信</x:v>
      </x:c>
      <x:c r="J10" s="67" t="str">
        <x:v>@P10/@P11</x:v>
      </x:c>
      <x:c r="K10" s="67" t="str">
        <x:v>S04-04、05</x:v>
      </x:c>
      <x:c r="L10" s="67" t="str">
        <x:v>@CST_FL45_QI_ENVOY</x:v>
      </x:c>
      <x:c r="M10" s="67" t="str">
        <x:v>高</x:v>
      </x:c>
      <x:c r="N10" s="67" t="str">
        <x:v>面部与手分层</x:v>
      </x:c>
      <x:c r="O10" s="67" t="str">
        <x:v>无冷笑蔑视；鬓灰/短须不漂</x:v>
      </x:c>
      <x:c r="P10" s="67" t="str">
        <x:v>P0</x:v>
      </x:c>
      <x:c r="Q10" s="67" t="str">
        <x:v>未开始</x:v>
      </x:c>
    </x:row>
    <x:row r="11" ht="42" customHeight="1">
      <x:c r="A11" s="67" t="str">
        <x:v>HND_FL45_UNTIE_ROPE</x:v>
      </x:c>
      <x:c r="B11" s="67" t="str">
        <x:v>@HND_FL45_UNTIE_ROPE</x:v>
      </x:c>
      <x:c r="C11" s="67" t="str">
        <x:v>@FL45</x:v>
      </x:c>
      <x:c r="D11" s="67" t="str">
        <x:v>手势</x:v>
      </x:c>
      <x:c r="E11" s="67" t="str">
        <x:v>一次干净解开湿麻绳</x:v>
      </x:c>
      <x:c r="F11" s="67" t="str">
        <x:v>正确绳结受力</x:v>
      </x:c>
      <x:c r="G11" s="67" t="str">
        <x:v>绳尾滑出</x:v>
      </x:c>
      <x:c r="H11" s="67" t="str">
        <x:v>双手</x:v>
      </x:c>
      <x:c r="I11" s="67" t="str">
        <x:v>麻绳/木桩</x:v>
      </x:c>
      <x:c r="J11" s="67" t="str">
        <x:v>@P20/@P09</x:v>
      </x:c>
      <x:c r="K11" s="67" t="str">
        <x:v>S03-04</x:v>
      </x:c>
      <x:c r="L11" s="67" t="str">
        <x:v>@CST_FL45_YUE_DEPART</x:v>
      </x:c>
      <x:c r="M11" s="67" t="str">
        <x:v>极高</x:v>
      </x:c>
      <x:c r="N11" s="67" t="str">
        <x:v>起止两帧+短段</x:v>
      </x:c>
      <x:c r="O11" s="67" t="str">
        <x:v>绳不穿掌、不消失；舟修补板同时连续</x:v>
      </x:c>
      <x:c r="P11" s="67" t="str">
        <x:v>P0</x:v>
      </x:c>
      <x:c r="Q11" s="67" t="str">
        <x:v>未开始</x:v>
      </x:c>
    </x:row>
    <x:row r="12" ht="42" customHeight="1">
      <x:c r="A12" s="67" t="str">
        <x:v>HND_FL45_LEVEL_MEASURE</x:v>
      </x:c>
      <x:c r="B12" s="67" t="str">
        <x:v>@HND_FL45_LEVEL_MEASURE</x:v>
      </x:c>
      <x:c r="C12" s="67" t="str">
        <x:v>@FL45</x:v>
      </x:c>
      <x:c r="D12" s="67" t="str">
        <x:v>手势</x:v>
      </x:c>
      <x:c r="E12" s="67" t="str">
        <x:v>木片刮平量器口沿</x:v>
      </x:c>
      <x:c r="F12" s="67" t="str">
        <x:v>谷物满至口沿</x:v>
      </x:c>
      <x:c r="G12" s="67" t="str">
        <x:v>表面平整并推给对方</x:v>
      </x:c>
      <x:c r="H12" s="67" t="str">
        <x:v>双手</x:v>
      </x:c>
      <x:c r="I12" s="67" t="str">
        <x:v>容量器/谷物</x:v>
      </x:c>
      <x:c r="J12" s="67" t="str">
        <x:v>@P14/@P07</x:v>
      </x:c>
      <x:c r="K12" s="67" t="str">
        <x:v>S04-02</x:v>
      </x:c>
      <x:c r="L12" s="67" t="str">
        <x:v>@CST_FL45_QI_WORK</x:v>
      </x:c>
      <x:c r="M12" s="67" t="str">
        <x:v>高</x:v>
      </x:c>
      <x:c r="N12" s="67" t="str">
        <x:v>单动作近景</x:v>
      </x:c>
      <x:c r="O12" s="67" t="str">
        <x:v>谷物不液化；木片接触正确</x:v>
      </x:c>
      <x:c r="P12" s="67" t="str">
        <x:v>P1</x:v>
      </x:c>
      <x:c r="Q12" s="67" t="str">
        <x:v>未开始</x:v>
      </x:c>
    </x:row>
    <x:row r="13" ht="42" customHeight="1">
      <x:c r="A13" s="67" t="str">
        <x:v>HND_FL45_SEAL_STOP</x:v>
      </x:c>
      <x:c r="B13" s="67" t="str">
        <x:v>@HND_FL45_SEAL_STOP</x:v>
      </x:c>
      <x:c r="C13" s="67" t="str">
        <x:v>@FL45</x:v>
      </x:c>
      <x:c r="D13" s="67" t="str">
        <x:v>手势</x:v>
      </x:c>
      <x:c r="E13" s="67" t="str">
        <x:v>手靠近印信至两指距离后停</x:v>
      </x:c>
      <x:c r="F13" s="67" t="str">
        <x:v>手在前景</x:v>
      </x:c>
      <x:c r="G13" s="67" t="str">
        <x:v>距印信两指宽</x:v>
      </x:c>
      <x:c r="H13" s="67" t="str">
        <x:v>右手</x:v>
      </x:c>
      <x:c r="I13" s="67" t="str">
        <x:v>印信/漆匣</x:v>
      </x:c>
      <x:c r="J13" s="67" t="str">
        <x:v>@P10/@P11</x:v>
      </x:c>
      <x:c r="K13" s="67" t="str">
        <x:v>S04-04</x:v>
      </x:c>
      <x:c r="L13" s="67" t="str">
        <x:v>@CST_FL45_QI_ENVOY</x:v>
      </x:c>
      <x:c r="M13" s="67" t="str">
        <x:v>极高</x:v>
      </x:c>
      <x:c r="N13" s="67" t="str">
        <x:v>手与道具比例板</x:v>
      </x:c>
      <x:c r="O13" s="67" t="str">
        <x:v>印信只占画面1/6；比例真实</x:v>
      </x:c>
      <x:c r="P13" s="67" t="str">
        <x:v>P0</x:v>
      </x:c>
      <x:c r="Q13" s="67" t="str">
        <x:v>未开始</x:v>
      </x:c>
    </x:row>
    <x:row r="14" ht="42" customHeight="1">
      <x:c r="A14" s="67" t="str">
        <x:v>HND_FL45_RETURN_BOX</x:v>
      </x:c>
      <x:c r="B14" s="67" t="str">
        <x:v>@HND_FL45_RETURN_BOX</x:v>
      </x:c>
      <x:c r="C14" s="67" t="str">
        <x:v>@FL45</x:v>
      </x:c>
      <x:c r="D14" s="67" t="str">
        <x:v>手势</x:v>
      </x:c>
      <x:c r="E14" s="67" t="str">
        <x:v>合匣、转向、双手递回</x:v>
      </x:c>
      <x:c r="F14" s="67" t="str">
        <x:v>匣盖打开</x:v>
      </x:c>
      <x:c r="G14" s="67" t="str">
        <x:v>使者双手接住</x:v>
      </x:c>
      <x:c r="H14" s="67" t="str">
        <x:v>双手</x:v>
      </x:c>
      <x:c r="I14" s="67" t="str">
        <x:v>漆木匣</x:v>
      </x:c>
      <x:c r="J14" s="67" t="str">
        <x:v>@P10</x:v>
      </x:c>
      <x:c r="K14" s="67" t="str">
        <x:v>S04-06</x:v>
      </x:c>
      <x:c r="L14" s="67" t="str">
        <x:v>@CST_FL45_QI_ENVOY</x:v>
      </x:c>
      <x:c r="M14" s="67" t="str">
        <x:v>极高</x:v>
      </x:c>
      <x:c r="N14" s="67" t="str">
        <x:v>拆成两条近景</x:v>
      </x:c>
      <x:c r="O14" s="67" t="str">
        <x:v>双方手不粘连；礼仪克制</x:v>
      </x:c>
      <x:c r="P14" s="67" t="str">
        <x:v>P0</x:v>
      </x:c>
      <x:c r="Q14" s="67" t="str">
        <x:v>未开始</x:v>
      </x:c>
    </x:row>
    <x:row r="15" ht="42" customHeight="1">
      <x:c r="A15" s="67" t="str">
        <x:v>HND_FL45_GRAIN_PASS</x:v>
      </x:c>
      <x:c r="B15" s="67" t="str">
        <x:v>@HND_FL45_GRAIN_PASS</x:v>
      </x:c>
      <x:c r="C15" s="67" t="str">
        <x:v>@FL45</x:v>
      </x:c>
      <x:c r="D15" s="67" t="str">
        <x:v>手势</x:v>
      </x:c>
      <x:c r="E15" s="67" t="str">
        <x:v>粮筐左到右交付</x:v>
      </x:c>
      <x:c r="F15" s="67" t="str">
        <x:v>范蠡持筐</x:v>
      </x:c>
      <x:c r="G15" s="67" t="str">
        <x:v>农人承重接稳</x:v>
      </x:c>
      <x:c r="H15" s="67" t="str">
        <x:v>双手</x:v>
      </x:c>
      <x:c r="I15" s="67" t="str">
        <x:v>粮筐</x:v>
      </x:c>
      <x:c r="J15" s="67" t="str">
        <x:v>@P07</x:v>
      </x:c>
      <x:c r="K15" s="67" t="str">
        <x:v>S04-07</x:v>
      </x:c>
      <x:c r="L15" s="67" t="str">
        <x:v>@CST_FL45_QI_WORK</x:v>
      </x:c>
      <x:c r="M15" s="67" t="str">
        <x:v>高</x:v>
      </x:c>
      <x:c r="N15" s="67" t="str">
        <x:v>独立一条</x:v>
      </x:c>
      <x:c r="O15" s="67" t="str">
        <x:v>接触后有重量下沉</x:v>
      </x:c>
      <x:c r="P15" s="67" t="str">
        <x:v>P1</x:v>
      </x:c>
      <x:c r="Q15" s="67" t="str">
        <x:v>未开始</x:v>
      </x:c>
    </x:row>
    <x:row r="16" ht="42" customHeight="1">
      <x:c r="A16" s="67" t="str">
        <x:v>HND_FL45_CLOTH_PASS</x:v>
      </x:c>
      <x:c r="B16" s="67" t="str">
        <x:v>@HND_FL45_CLOTH_PASS</x:v>
      </x:c>
      <x:c r="C16" s="67" t="str">
        <x:v>@FL45</x:v>
      </x:c>
      <x:c r="D16" s="67" t="str">
        <x:v>手势</x:v>
      </x:c>
      <x:c r="E16" s="67" t="str">
        <x:v>灰蓝布帛左到右交付</x:v>
      </x:c>
      <x:c r="F16" s="67" t="str">
        <x:v>布束在手</x:v>
      </x:c>
      <x:c r="G16" s="67" t="str">
        <x:v>另一双手接稳</x:v>
      </x:c>
      <x:c r="H16" s="67" t="str">
        <x:v>双手</x:v>
      </x:c>
      <x:c r="I16" s="67" t="str">
        <x:v>布帛</x:v>
      </x:c>
      <x:c r="J16" s="67" t="str">
        <x:v>@P16</x:v>
      </x:c>
      <x:c r="K16" s="67" t="str">
        <x:v>S04-07</x:v>
      </x:c>
      <x:c r="L16" s="67" t="str">
        <x:v>@CST_FL45_QI_WORK</x:v>
      </x:c>
      <x:c r="M16" s="67" t="str">
        <x:v>高</x:v>
      </x:c>
      <x:c r="N16" s="67" t="str">
        <x:v>独立一条</x:v>
      </x:c>
      <x:c r="O16" s="67" t="str">
        <x:v>方向与粮筐一致；布不液化</x:v>
      </x:c>
      <x:c r="P16" s="67" t="str">
        <x:v>P1</x:v>
      </x:c>
      <x:c r="Q16" s="67" t="str">
        <x:v>未开始</x:v>
      </x:c>
    </x:row>
    <x:row r="17" ht="42" customHeight="1">
      <x:c r="A17" s="67" t="str">
        <x:v>HND_FL45_POTTERY_PASS</x:v>
      </x:c>
      <x:c r="B17" s="67" t="str">
        <x:v>@HND_FL45_POTTERY_PASS</x:v>
      </x:c>
      <x:c r="C17" s="67" t="str">
        <x:v>@FL45</x:v>
      </x:c>
      <x:c r="D17" s="67" t="str">
        <x:v>手势</x:v>
      </x:c>
      <x:c r="E17" s="67" t="str">
        <x:v>陶器左到右交付</x:v>
      </x:c>
      <x:c r="F17" s="67" t="str">
        <x:v>双手托器</x:v>
      </x:c>
      <x:c r="G17" s="67" t="str">
        <x:v>对方双手接稳</x:v>
      </x:c>
      <x:c r="H17" s="67" t="str">
        <x:v>双手</x:v>
      </x:c>
      <x:c r="I17" s="67" t="str">
        <x:v>陶器</x:v>
      </x:c>
      <x:c r="J17" s="67" t="str">
        <x:v>@P17</x:v>
      </x:c>
      <x:c r="K17" s="67" t="str">
        <x:v>S04-07</x:v>
      </x:c>
      <x:c r="L17" s="67" t="str">
        <x:v>@CST_FL45_QI_WORK</x:v>
      </x:c>
      <x:c r="M17" s="67" t="str">
        <x:v>高</x:v>
      </x:c>
      <x:c r="N17" s="67" t="str">
        <x:v>独立一条</x:v>
      </x:c>
      <x:c r="O17" s="67" t="str">
        <x:v>器形与手指接触正确</x:v>
      </x:c>
      <x:c r="P17" s="67" t="str">
        <x:v>P1</x:v>
      </x:c>
      <x:c r="Q17" s="67" t="str">
        <x:v>未开始</x:v>
      </x:c>
    </x:row>
    <x:row r="18" ht="42" customHeight="1">
      <x:c r="A18" s="67" t="str">
        <x:v>EXP_TZG60_ALERT</x:v>
      </x:c>
      <x:c r="B18" s="67" t="str">
        <x:v>@EXP_TZG60_ALERT</x:v>
      </x:c>
      <x:c r="C18" s="67" t="str">
        <x:v>@TZG60</x:v>
      </x:c>
      <x:c r="D18" s="67" t="str">
        <x:v>表情</x:v>
      </x:c>
      <x:c r="E18" s="67" t="str">
        <x:v>温和但警觉的中性观察</x:v>
      </x:c>
      <x:c r="F18" s="67" t="str">
        <x:v>中性</x:v>
      </x:c>
      <x:c r="G18" s="67" t="str">
        <x:v>目光完成分析</x:v>
      </x:c>
      <x:c r="H18" s="67" t="str">
        <x:v>—</x:v>
      </x:c>
      <x:c r="I18" s="67" t="str">
        <x:v>道路/水路/货物</x:v>
      </x:c>
      <x:c r="J18" s="67" t="str">
        <x:v>—</x:v>
      </x:c>
      <x:c r="K18" s="67" t="str">
        <x:v>S05-02</x:v>
      </x:c>
      <x:c r="L18" s="67" t="str">
        <x:v>@CST_TZG60_TAO_BASE</x:v>
      </x:c>
      <x:c r="M18" s="67" t="str">
        <x:v>中</x:v>
      </x:c>
      <x:c r="N18" s="67" t="str">
        <x:v>中性表情板</x:v>
      </x:c>
      <x:c r="O18" s="67" t="str">
        <x:v>不仙人化、不像算命先生</x:v>
      </x:c>
      <x:c r="P18" s="67" t="str">
        <x:v>P0</x:v>
      </x:c>
      <x:c r="Q18" s="67" t="str">
        <x:v>未开始</x:v>
      </x:c>
    </x:row>
    <x:row r="19" ht="42" customHeight="1">
      <x:c r="A19" s="67" t="str">
        <x:v>EXP_TZG60_WARM_SMILE</x:v>
      </x:c>
      <x:c r="B19" s="67" t="str">
        <x:v>@EXP_TZG60_WARM_SMILE</x:v>
      </x:c>
      <x:c r="C19" s="67" t="str">
        <x:v>@TZG60</x:v>
      </x:c>
      <x:c r="D19" s="67" t="str">
        <x:v>表情</x:v>
      </x:c>
      <x:c r="E19" s="67" t="str">
        <x:v>极轻暖笑</x:v>
      </x:c>
      <x:c r="F19" s="67" t="str">
        <x:v>中性</x:v>
      </x:c>
      <x:c r="G19" s="67" t="str">
        <x:v>嘴角轻微变化</x:v>
      </x:c>
      <x:c r="H19" s="67" t="str">
        <x:v>—</x:v>
      </x:c>
      <x:c r="I19" s="67" t="str">
        <x:v>生活回流</x:v>
      </x:c>
      <x:c r="J19" s="67" t="str">
        <x:v>—</x:v>
      </x:c>
      <x:c r="K19" s="67" t="str">
        <x:v>备用</x:v>
      </x:c>
      <x:c r="L19" s="67" t="str">
        <x:v>@CST_TZG60_TAO_BASE</x:v>
      </x:c>
      <x:c r="M19" s="67" t="str">
        <x:v>中</x:v>
      </x:c>
      <x:c r="N19" s="67" t="str">
        <x:v>表情板</x:v>
      </x:c>
      <x:c r="O19" s="67" t="str">
        <x:v>微笑极少且身份稳定</x:v>
      </x:c>
      <x:c r="P19" s="67" t="str">
        <x:v>P2</x:v>
      </x:c>
      <x:c r="Q19" s="67" t="str">
        <x:v>未开始</x:v>
      </x:c>
    </x:row>
    <x:row r="20" ht="42" customHeight="1">
      <x:c r="A20" s="67" t="str">
        <x:v>HND_TZG60_TOUCH_SOIL</x:v>
      </x:c>
      <x:c r="B20" s="67" t="str">
        <x:v>@HND_TZG60_TOUCH_SOIL</x:v>
      </x:c>
      <x:c r="C20" s="67" t="str">
        <x:v>@TZG60</x:v>
      </x:c>
      <x:c r="D20" s="67" t="str">
        <x:v>手势</x:v>
      </x:c>
      <x:c r="E20" s="67" t="str">
        <x:v>蹲下摸土后起身</x:v>
      </x:c>
      <x:c r="F20" s="67" t="str">
        <x:v>站立</x:v>
      </x:c>
      <x:c r="G20" s="67" t="str">
        <x:v>触土并查看湿度</x:v>
      </x:c>
      <x:c r="H20" s="67" t="str">
        <x:v>右手</x:v>
      </x:c>
      <x:c r="I20" s="67" t="str">
        <x:v>土壤</x:v>
      </x:c>
      <x:c r="J20" s="67" t="str">
        <x:v>—</x:v>
      </x:c>
      <x:c r="K20" s="67" t="str">
        <x:v>S05-05</x:v>
      </x:c>
      <x:c r="L20" s="67" t="str">
        <x:v>@CST_TZG60_TAO_BASE</x:v>
      </x:c>
      <x:c r="M20" s="67" t="str">
        <x:v>高</x:v>
      </x:c>
      <x:c r="N20" s="67" t="str">
        <x:v>手部+半身分段</x:v>
      </x:c>
      <x:c r="O20" s="67" t="str">
        <x:v>右食指粗茧；土不穿手</x:v>
      </x:c>
      <x:c r="P20" s="67" t="str">
        <x:v>P1</x:v>
      </x:c>
      <x:c r="Q20" s="67" t="str">
        <x:v>未开始</x:v>
      </x:c>
    </x:row>
    <x:row r="21" ht="42" customHeight="1">
      <x:c r="A21" s="67" t="str">
        <x:v>HND_TZG60_WATERMARK</x:v>
      </x:c>
      <x:c r="B21" s="67" t="str">
        <x:v>@HND_TZG60_WATERMARK</x:v>
      </x:c>
      <x:c r="C21" s="67" t="str">
        <x:v>@TZG60</x:v>
      </x:c>
      <x:c r="D21" s="67" t="str">
        <x:v>手势</x:v>
      </x:c>
      <x:c r="E21" s="67" t="str">
        <x:v>观察水标并做小手势</x:v>
      </x:c>
      <x:c r="F21" s="67" t="str">
        <x:v>看木桩</x:v>
      </x:c>
      <x:c r="G21" s="67" t="str">
        <x:v>单次小手势</x:v>
      </x:c>
      <x:c r="H21" s="67" t="str">
        <x:v>右手</x:v>
      </x:c>
      <x:c r="I21" s="67" t="str">
        <x:v>水标/绳</x:v>
      </x:c>
      <x:c r="J21" s="67" t="str">
        <x:v>@P19/@P20</x:v>
      </x:c>
      <x:c r="K21" s="67" t="str">
        <x:v>S05-06</x:v>
      </x:c>
      <x:c r="L21" s="67" t="str">
        <x:v>@CST_TZG60_SUMMER_LIGHT</x:v>
      </x:c>
      <x:c r="M21" s="67" t="str">
        <x:v>高</x:v>
      </x:c>
      <x:c r="N21" s="67" t="str">
        <x:v>局部动作</x:v>
      </x:c>
      <x:c r="O21" s="67" t="str">
        <x:v>衣摆与风向统一向右</x:v>
      </x:c>
      <x:c r="P21" s="67" t="str">
        <x:v>P1</x:v>
      </x:c>
      <x:c r="Q21" s="67" t="str">
        <x:v>未开始</x:v>
      </x:c>
    </x:row>
    <x:row r="22" ht="42" customHeight="1">
      <x:c r="A22" s="67" t="str">
        <x:v>HND_TZG60_THREE_GRAINS</x:v>
      </x:c>
      <x:c r="B22" s="67" t="str">
        <x:v>@HND_TZG60_THREE_GRAINS</x:v>
      </x:c>
      <x:c r="C22" s="67" t="str">
        <x:v>@TZG60</x:v>
      </x:c>
      <x:c r="D22" s="67" t="str">
        <x:v>手势</x:v>
      </x:c>
      <x:c r="E22" s="67" t="str">
        <x:v>只捻三粒谷</x:v>
      </x:c>
      <x:c r="F22" s="67" t="str">
        <x:v>手离粮</x:v>
      </x:c>
      <x:c r="G22" s="67" t="str">
        <x:v>三粒清晰可数</x:v>
      </x:c>
      <x:c r="H22" s="67" t="str">
        <x:v>右手</x:v>
      </x:c>
      <x:c r="I22" s="67" t="str">
        <x:v>谷粒</x:v>
      </x:c>
      <x:c r="J22" s="67" t="str">
        <x:v>@P07</x:v>
      </x:c>
      <x:c r="K22" s="67" t="str">
        <x:v>S05-07</x:v>
      </x:c>
      <x:c r="L22" s="67" t="str">
        <x:v>@CST_TZG60_TAO_BASE</x:v>
      </x:c>
      <x:c r="M22" s="67" t="str">
        <x:v>极高</x:v>
      </x:c>
      <x:c r="N22" s="67" t="str">
        <x:v>微距动作板</x:v>
      </x:c>
      <x:c r="O22" s="67" t="str">
        <x:v>必须恰好三粒；不吃谷物</x:v>
      </x:c>
      <x:c r="P22" s="67" t="str">
        <x:v>P0</x:v>
      </x:c>
      <x:c r="Q22" s="67" t="str">
        <x:v>未开始</x:v>
      </x:c>
    </x:row>
    <x:row r="23" ht="42" customHeight="1">
      <x:c r="A23" s="67" t="str">
        <x:v>HND_TZG60_BREAK_GRAIN</x:v>
      </x:c>
      <x:c r="B23" s="67" t="str">
        <x:v>@HND_TZG60_BREAK_GRAIN</x:v>
      </x:c>
      <x:c r="C23" s="67" t="str">
        <x:v>@TZG60</x:v>
      </x:c>
      <x:c r="D23" s="67" t="str">
        <x:v>手势</x:v>
      </x:c>
      <x:c r="E23" s="67" t="str">
        <x:v>闻、看、掰开一粒</x:v>
      </x:c>
      <x:c r="F23" s="67" t="str">
        <x:v>三粒在手</x:v>
      </x:c>
      <x:c r="G23" s="67" t="str">
        <x:v>一粒被掰开</x:v>
      </x:c>
      <x:c r="H23" s="67" t="str">
        <x:v>双手</x:v>
      </x:c>
      <x:c r="I23" s="67" t="str">
        <x:v>谷粒</x:v>
      </x:c>
      <x:c r="J23" s="67" t="str">
        <x:v>@P07</x:v>
      </x:c>
      <x:c r="K23" s="67" t="str">
        <x:v>S05-07</x:v>
      </x:c>
      <x:c r="L23" s="67" t="str">
        <x:v>@CST_TZG60_TAO_BASE</x:v>
      </x:c>
      <x:c r="M23" s="67" t="str">
        <x:v>极高</x:v>
      </x:c>
      <x:c r="N23" s="67" t="str">
        <x:v>拆分动作</x:v>
      </x:c>
      <x:c r="O23" s="67" t="str">
        <x:v>粒数和指尖接触清楚</x:v>
      </x:c>
      <x:c r="P23" s="67" t="str">
        <x:v>P0</x:v>
      </x:c>
      <x:c r="Q23" s="67" t="str">
        <x:v>未开始</x:v>
      </x:c>
    </x:row>
    <x:row r="24" ht="42" customHeight="1">
      <x:c r="A24" s="67" t="str">
        <x:v>HND_TZG60_ROTATE_MEASURE</x:v>
      </x:c>
      <x:c r="B24" s="67" t="str">
        <x:v>@HND_TZG60_ROTATE_MEASURE</x:v>
      </x:c>
      <x:c r="C24" s="67" t="str">
        <x:v>@TZG60</x:v>
      </x:c>
      <x:c r="D24" s="67" t="str">
        <x:v>手势</x:v>
      </x:c>
      <x:c r="E24" s="67" t="str">
        <x:v>把刻线转向对方可见</x:v>
      </x:c>
      <x:c r="F24" s="67" t="str">
        <x:v>量器朝自己</x:v>
      </x:c>
      <x:c r="G24" s="67" t="str">
        <x:v>刻线朝对方并交付</x:v>
      </x:c>
      <x:c r="H24" s="67" t="str">
        <x:v>双手</x:v>
      </x:c>
      <x:c r="I24" s="67" t="str">
        <x:v>容量器</x:v>
      </x:c>
      <x:c r="J24" s="67" t="str">
        <x:v>@P14</x:v>
      </x:c>
      <x:c r="K24" s="67" t="str">
        <x:v>S05-08</x:v>
      </x:c>
      <x:c r="L24" s="67" t="str">
        <x:v>@CST_TZG60_TAO_CLOAK</x:v>
      </x:c>
      <x:c r="M24" s="67" t="str">
        <x:v>高</x:v>
      </x:c>
      <x:c r="N24" s="67" t="str">
        <x:v>双人近景</x:v>
      </x:c>
      <x:c r="O24" s="67" t="str">
        <x:v>量器不刻现代数字；双方保持尊严</x:v>
      </x:c>
      <x:c r="P24" s="67" t="str">
        <x:v>P1</x:v>
      </x:c>
      <x:c r="Q24" s="67" t="str">
        <x:v>未开始</x:v>
      </x:c>
    </x:row>
    <x:row r="25" ht="42" customHeight="1">
      <x:c r="A25" s="67" t="str">
        <x:v>HND_TZG60_OFF_BALANCE</x:v>
      </x:c>
      <x:c r="B25" s="67" t="str">
        <x:v>@HND_TZG60_OFF_BALANCE</x:v>
      </x:c>
      <x:c r="C25" s="67" t="str">
        <x:v>@TZG60</x:v>
      </x:c>
      <x:c r="D25" s="67" t="str">
        <x:v>手势</x:v>
      </x:c>
      <x:c r="E25" s="67" t="str">
        <x:v>双手离开秤盘让对方查看</x:v>
      </x:c>
      <x:c r="F25" s="67" t="str">
        <x:v>秤盘轻摆</x:v>
      </x:c>
      <x:c r="G25" s="67" t="str">
        <x:v>三次内停平</x:v>
      </x:c>
      <x:c r="H25" s="67" t="str">
        <x:v>双手</x:v>
      </x:c>
      <x:c r="I25" s="67" t="str">
        <x:v>环权天平</x:v>
      </x:c>
      <x:c r="J25" s="67" t="str">
        <x:v>@P13</x:v>
      </x:c>
      <x:c r="K25" s="67" t="str">
        <x:v>S05-09</x:v>
      </x:c>
      <x:c r="L25" s="67" t="str">
        <x:v>@CST_TZG60_TAO_CLOAK</x:v>
      </x:c>
      <x:c r="M25" s="67" t="str">
        <x:v>极高</x:v>
      </x:c>
      <x:c r="N25" s="67" t="str">
        <x:v>局部驱动</x:v>
      </x:c>
      <x:c r="O25" s="67" t="str">
        <x:v>非西式天平；最终水平</x:v>
      </x:c>
      <x:c r="P25" s="67" t="str">
        <x:v>P0</x:v>
      </x:c>
      <x:c r="Q25" s="67" t="str">
        <x:v>未开始</x:v>
      </x:c>
    </x:row>
    <x:row r="26" ht="42" customHeight="1">
      <x:c r="A26" s="67" t="str">
        <x:v>HND_TZG60_OPEN_GRANARY</x:v>
      </x:c>
      <x:c r="B26" s="67" t="str">
        <x:v>@HND_TZG60_OPEN_GRANARY</x:v>
      </x:c>
      <x:c r="C26" s="67" t="str">
        <x:v>@TZG60</x:v>
      </x:c>
      <x:c r="D26" s="67" t="str">
        <x:v>手势</x:v>
      </x:c>
      <x:c r="E26" s="67" t="str">
        <x:v>抬横闩、双门向内开、侧身让路</x:v>
      </x:c>
      <x:c r="F26" s="67" t="str">
        <x:v>重门关闭</x:v>
      </x:c>
      <x:c r="G26" s="67" t="str">
        <x:v>中轴完全让空</x:v>
      </x:c>
      <x:c r="H26" s="67" t="str">
        <x:v>双手</x:v>
      </x:c>
      <x:c r="I26" s="67" t="str">
        <x:v>仓门</x:v>
      </x:c>
      <x:c r="J26" s="67" t="str">
        <x:v>@P08B</x:v>
      </x:c>
      <x:c r="K26" s="67" t="str">
        <x:v>S06-02</x:v>
      </x:c>
      <x:c r="L26" s="67" t="str">
        <x:v>@CST_TZG60_TAO_BASE</x:v>
      </x:c>
      <x:c r="M26" s="67" t="str">
        <x:v>极高</x:v>
      </x:c>
      <x:c r="N26" s="67" t="str">
        <x:v>三段动作+遮挡切</x:v>
      </x:c>
      <x:c r="O26" s="67" t="str">
        <x:v>门向内；手臂不穿门；无神迹金光</x:v>
      </x:c>
      <x:c r="P26" s="67" t="str">
        <x:v>P0</x:v>
      </x:c>
      <x:c r="Q26" s="67" t="str">
        <x:v>未开始</x:v>
      </x:c>
    </x:row>
    <x:row r="27" ht="42" customHeight="1">
      <x:c r="A27" s="67" t="str">
        <x:v>HND_TZG60_STEADY_SACK</x:v>
      </x:c>
      <x:c r="B27" s="67" t="str">
        <x:v>@HND_TZG60_STEADY_SACK</x:v>
      </x:c>
      <x:c r="C27" s="67" t="str">
        <x:v>@TZG60</x:v>
      </x:c>
      <x:c r="D27" s="67" t="str">
        <x:v>手势</x:v>
      </x:c>
      <x:c r="E27" s="67" t="str">
        <x:v>扶稳重袋后立即放手</x:v>
      </x:c>
      <x:c r="F27" s="67" t="str">
        <x:v>袋在接力中</x:v>
      </x:c>
      <x:c r="G27" s="67" t="str">
        <x:v>侧身清路</x:v>
      </x:c>
      <x:c r="H27" s="67" t="str">
        <x:v>双手</x:v>
      </x:c>
      <x:c r="I27" s="67" t="str">
        <x:v>粮袋</x:v>
      </x:c>
      <x:c r="J27" s="67" t="str">
        <x:v>@P07</x:v>
      </x:c>
      <x:c r="K27" s="67" t="str">
        <x:v>S06-04</x:v>
      </x:c>
      <x:c r="L27" s="67" t="str">
        <x:v>@CST_TZG60_TAO_BASE</x:v>
      </x:c>
      <x:c r="M27" s="67" t="str">
        <x:v>极高</x:v>
      </x:c>
      <x:c r="N27" s="67" t="str">
        <x:v>两人近景/分段接力</x:v>
      </x:c>
      <x:c r="O27" s="67" t="str">
        <x:v>肩膝下沉；袋有重量；无多手</x:v>
      </x:c>
      <x:c r="P27" s="67" t="str">
        <x:v>P0</x:v>
      </x:c>
      <x:c r="Q27" s="67" t="str">
        <x:v>未开始</x:v>
      </x:c>
    </x:row>
    <x:row r="28" ht="42" customHeight="1">
      <x:c r="A28" s="67" t="str">
        <x:v>EXP_STATUE_CLOSED</x:v>
      </x:c>
      <x:c r="B28" s="67" t="str">
        <x:v>@EXP_STATUE_CLOSED</x:v>
      </x:c>
      <x:c r="C28" s="67" t="str">
        <x:v>@STATUE</x:v>
      </x:c>
      <x:c r="D28" s="67" t="str">
        <x:v>表情</x:v>
      </x:c>
      <x:c r="E28" s="67" t="str">
        <x:v>雕塑闭眼静态</x:v>
      </x:c>
      <x:c r="F28" s="67" t="str">
        <x:v>闭眼</x:v>
      </x:c>
      <x:c r="G28" s="67" t="str">
        <x:v>闭眼</x:v>
      </x:c>
      <x:c r="H28" s="67" t="str">
        <x:v>—</x:v>
      </x:c>
      <x:c r="I28" s="67" t="str">
        <x:v>宝珠/油灯</x:v>
      </x:c>
      <x:c r="J28" s="67" t="str">
        <x:v>@P01</x:v>
      </x:c>
      <x:c r="K28" s="67" t="str">
        <x:v>S01-01、02、S07-01、04</x:v>
      </x:c>
      <x:c r="L28" s="67" t="str">
        <x:v>@CST_STATUE_LATER_ROBE</x:v>
      </x:c>
      <x:c r="M28" s="67" t="str">
        <x:v>中</x:v>
      </x:c>
      <x:c r="N28" s="67" t="str">
        <x:v>权威正面母版派生</x:v>
      </x:c>
      <x:c r="O28" s="67" t="str">
        <x:v>完全是雕塑；无真人皮肤；宝珠是否发光待裁决</x:v>
      </x:c>
      <x:c r="P28" s="67" t="str">
        <x:v>P0</x:v>
      </x:c>
      <x:c r="Q28" s="67" t="str">
        <x:v>阻塞</x:v>
      </x:c>
    </x:row>
    <x:row r="29" ht="42" customHeight="1">
      <x:c r="A29" s="67" t="str">
        <x:v>EXP_STATUE_OPEN60</x:v>
      </x:c>
      <x:c r="B29" s="67" t="str">
        <x:v>@EXP_STATUE_OPEN60</x:v>
      </x:c>
      <x:c r="C29" s="67" t="str">
        <x:v>@STATUE</x:v>
      </x:c>
      <x:c r="D29" s="67" t="str">
        <x:v>表情</x:v>
      </x:c>
      <x:c r="E29" s="67" t="str">
        <x:v>眼睑极慢打开至60%</x:v>
      </x:c>
      <x:c r="F29" s="67" t="str">
        <x:v>闭眼</x:v>
      </x:c>
      <x:c r="G29" s="67" t="str">
        <x:v>60%睁眼并停住</x:v>
      </x:c>
      <x:c r="H29" s="67" t="str">
        <x:v>—</x:v>
      </x:c>
      <x:c r="I29" s="67" t="str">
        <x:v>宝珠/油灯</x:v>
      </x:c>
      <x:c r="J29" s="67" t="str">
        <x:v>@P01/@P03</x:v>
      </x:c>
      <x:c r="K29" s="67" t="str">
        <x:v>S01-03</x:v>
      </x:c>
      <x:c r="L29" s="67" t="str">
        <x:v>@CST_STATUE_LATER_ROBE</x:v>
      </x:c>
      <x:c r="M29" s="67" t="str">
        <x:v>极高</x:v>
      </x:c>
      <x:c r="N29" s="67" t="str">
        <x:v>三状态配对+局部合成</x:v>
      </x:c>
      <x:c r="O29" s="67" t="str">
        <x:v>眼球不发光；表面纹理不液化；宝珠发光另行裁决</x:v>
      </x:c>
      <x:c r="P29" s="67" t="str">
        <x:v>P0</x:v>
      </x:c>
      <x:c r="Q29" s="67" t="str">
        <x:v>阻塞</x:v>
      </x:c>
    </x:row>
    <x:row r="30" ht="42" customHeight="1">
      <x:c r="A30" s="67" t="str">
        <x:v>POSE_STATUE_HANDS</x:v>
      </x:c>
      <x:c r="B30" s="67" t="str">
        <x:v>@POSE_STATUE_HANDS</x:v>
      </x:c>
      <x:c r="C30" s="67" t="str">
        <x:v>@STATUE</x:v>
      </x:c>
      <x:c r="D30" s="67" t="str">
        <x:v>姿态</x:v>
      </x:c>
      <x:c r="E30" s="67" t="str">
        <x:v>人物自身右手（画面左）托亮蓝宝珠；人物自身左手（画面右）持金色礼仪物</x:v>
      </x:c>
      <x:c r="F30" s="67" t="str">
        <x:v>固定</x:v>
      </x:c>
      <x:c r="G30" s="67" t="str">
        <x:v>固定</x:v>
      </x:c>
      <x:c r="H30" s="67" t="str">
        <x:v>双手</x:v>
      </x:c>
      <x:c r="I30" s="67" t="str">
        <x:v>亮蓝宝珠/金色礼仪物</x:v>
      </x:c>
      <x:c r="J30" s="67" t="str">
        <x:v>@P01</x:v>
      </x:c>
      <x:c r="K30" s="67" t="str">
        <x:v>首尾</x:v>
      </x:c>
      <x:c r="L30" s="67" t="str">
        <x:v>@CST_STATUE_LATER_ROBE</x:v>
      </x:c>
      <x:c r="M30" s="67" t="str">
        <x:v>极高</x:v>
      </x:c>
      <x:c r="N30" s="67" t="str">
        <x:v>权威正面全身板</x:v>
      </x:c>
      <x:c r="O30" s="67" t="str">
        <x:v>正面直立；双手物件与蓝色海浪纹圆座不得改变；禁卷册/置膝</x:v>
      </x:c>
      <x:c r="P30" s="67" t="str">
        <x:v>P0</x:v>
      </x:c>
      <x:c r="Q30" s="67" t="str">
        <x:v>阻塞</x:v>
      </x:c>
    </x:row>
  </x:sheetData>
  <x:mergeCells>
    <x:mergeCell ref="A1:Q1"/>
    <x:mergeCell ref="A2:Q2"/>
  </x:mergeCells>
  <x:conditionalFormatting sqref="M5:M30">
    <x:cfRule type="containsText" dxfId="21" priority="1" operator="containsText" text="极高"/>
    <x:cfRule type="containsText" dxfId="22" priority="2" operator="containsText" text="高"/>
    <x:cfRule type="containsText" dxfId="23" priority="3" operator="containsText" text="中"/>
    <x:cfRule type="containsText" dxfId="24" priority="4" operator="containsText" text="低"/>
  </x:conditionalFormatting>
  <x:conditionalFormatting sqref="P5:P30">
    <x:cfRule type="containsText" dxfId="25" priority="5" operator="containsText" text="P0"/>
    <x:cfRule type="containsText" dxfId="26" priority="6" operator="containsText" text="P1"/>
    <x:cfRule type="containsText" dxfId="27" priority="7" operator="containsText" text="P2"/>
  </x:conditionalFormatting>
  <x:conditionalFormatting sqref="Q5:Q30">
    <x:cfRule type="containsText" dxfId="28" priority="8" operator="containsText" text="已通过"/>
    <x:cfRule type="containsText" dxfId="29" priority="9" operator="containsText" text="进行中"/>
    <x:cfRule type="containsText" dxfId="30" priority="10" operator="containsText" text="阻塞"/>
    <x:cfRule type="containsText" dxfId="31" priority="11" operator="containsText" text="未开始"/>
    <x:cfRule type="containsText" dxfId="32" priority="12" operator="containsText" text="待检查"/>
  </x:conditionalFormatting>
  <x:dataValidations count="3">
    <x:dataValidation type="list" sqref="M5:M30">
      <x:formula1>"低,中,高,极高"</x:formula1>
    </x:dataValidation>
    <x:dataValidation type="list" sqref="P5:P30">
      <x:formula1>"P0,P1,P2"</x:formula1>
    </x:dataValidation>
    <x:dataValidation type="list" sqref="Q5:Q30">
      <x:formula1>"未开始,进行中,待检查,已通过,阻塞"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8dbef22912424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22" hidden="0" customWidth="1"/>
    <x:col min="4" max="4" width="30" hidden="0" customWidth="1"/>
    <x:col min="5" max="5" width="22" hidden="0" customWidth="1"/>
    <x:col min="6" max="6" width="36" hidden="0" customWidth="1"/>
    <x:col min="7" max="7" width="35" hidden="0" customWidth="1"/>
    <x:col min="8" max="8" width="18" hidden="0" customWidth="1"/>
    <x:col min="9" max="9" width="31" hidden="0" customWidth="1"/>
    <x:col min="10" max="10" width="34" hidden="0" customWidth="1"/>
    <x:col min="11" max="11" width="40" hidden="0" customWidth="1"/>
    <x:col min="12" max="12" width="10" hidden="0" customWidth="1"/>
    <x:col min="13" max="13" width="10" hidden="0" customWidth="1"/>
    <x:col min="14" max="14" width="12" hidden="0" customWidth="1"/>
  </x:cols>
  <x:sheetData>
    <x:row r="1" ht="30" customHeight="1">
      <x:c r="A1" s="3" t="str">
        <x:v>04｜群演与功能角色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2" customHeight="1">
      <x:c r="A2" s="7" t="str">
        <x:v>群演先做差异化 casting sheet，再组合群组；G03 与 G06 使用例外模板，不套通用“六人清晰全身”模板。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>
      <x:c r="A3" s="70"/>
      <x:c r="B3" s="70"/>
      <x:c r="C3" s="70"/>
      <x:c r="D3" s="70"/>
      <x:c r="E3" s="70"/>
      <x:c r="F3" s="70"/>
      <x:c r="G3" s="70"/>
      <x:c r="H3" s="70"/>
      <x:c r="I3" s="70"/>
      <x:c r="J3" s="70"/>
      <x:c r="K3" s="70"/>
      <x:c r="L3" s="70"/>
      <x:c r="M3" s="70"/>
      <x:c r="N3" s="70"/>
    </x:row>
    <x:row r="4" ht="34" customHeight="1">
      <x:c r="A4" s="58" t="str">
        <x:v>Group ID</x:v>
      </x:c>
      <x:c r="B4" s="59" t="str">
        <x:v>Canonical Tag</x:v>
      </x:c>
      <x:c r="C4" s="59" t="str">
        <x:v>名称</x:v>
      </x:c>
      <x:c r="D4" s="59" t="str">
        <x:v>构成</x:v>
      </x:c>
      <x:c r="E4" s="59" t="str">
        <x:v>年龄/性别</x:v>
      </x:c>
      <x:c r="F4" s="59" t="str">
        <x:v>服装依赖</x:v>
      </x:c>
      <x:c r="G4" s="59" t="str">
        <x:v>核心动作</x:v>
      </x:c>
      <x:c r="H4" s="59" t="str">
        <x:v>场景</x:v>
      </x:c>
      <x:c r="I4" s="59" t="str">
        <x:v>镜头</x:v>
      </x:c>
      <x:c r="J4" s="59" t="str">
        <x:v>例外模板</x:v>
      </x:c>
      <x:c r="K4" s="59" t="str">
        <x:v>验收重点</x:v>
      </x:c>
      <x:c r="L4" s="59" t="str">
        <x:v>优先级</x:v>
      </x:c>
      <x:c r="M4" s="59" t="str">
        <x:v>风险</x:v>
      </x:c>
      <x:c r="N4" s="60" t="str">
        <x:v>状态</x:v>
      </x:c>
    </x:row>
    <x:row r="5" ht="42" customHeight="1">
      <x:c r="A5" s="66" t="str">
        <x:v>GRP_G01_YUE_SOLDIERS</x:v>
      </x:c>
      <x:c r="B5" s="66" t="str">
        <x:v>@G01</x:v>
      </x:c>
      <x:c r="C5" s="66" t="str">
        <x:v>越军士卒</x:v>
      </x:c>
      <x:c r="D5" s="66" t="str">
        <x:v>6 名差异化个体；雨中装备</x:v>
      </x:c>
      <x:c r="E5" s="66" t="str">
        <x:v>20–45岁男性为主</x:v>
      </x:c>
      <x:c r="F5" s="66" t="str">
        <x:v>先秦军士灰麻衣/皮革或漆革防护</x:v>
      </x:c>
      <x:c r="G5" s="66" t="str">
        <x:v>等待、握剑、靠柱；不阅兵</x:v>
      </x:c>
      <x:c r="H5" s="66" t="str">
        <x:v>E02</x:v>
      </x:c>
      <x:c r="I5" s="66" t="str">
        <x:v>S02-01、02</x:v>
      </x:c>
      <x:c r="J5" s="66" t="str">
        <x:v>否</x:v>
      </x:c>
      <x:c r="K5" s="66" t="str">
        <x:v>无复制脸；非唐明甲；武器和手指正确</x:v>
      </x:c>
      <x:c r="L5" s="66" t="str">
        <x:v>P1</x:v>
      </x:c>
      <x:c r="M5" s="66" t="str">
        <x:v>高</x:v>
      </x:c>
      <x:c r="N5" s="66" t="str">
        <x:v>未开始</x:v>
      </x:c>
    </x:row>
    <x:row r="6" ht="42" customHeight="1">
      <x:c r="A6" s="67" t="str">
        <x:v>GRP_G02_VICTORY_CROWD</x:v>
      </x:c>
      <x:c r="B6" s="67" t="str">
        <x:v>@G02</x:v>
      </x:c>
      <x:c r="C6" s="67" t="str">
        <x:v>越国庆功人群</x:v>
      </x:c>
      <x:c r="D6" s="67" t="str">
        <x:v>官吏、士卒、劳作者分层</x:v>
      </x:c>
      <x:c r="E6" s="67" t="str">
        <x:v>成年男女，以男性较多</x:v>
      </x:c>
      <x:c r="F6" s="67" t="str">
        <x:v>暗朱、黑褐、米白低饱和</x:v>
      </x:c>
      <x:c r="G6" s="67" t="str">
        <x:v>前景举杯/中景交谈/背景添火</x:v>
      </x:c>
      <x:c r="H6" s="67" t="str">
        <x:v>E04</x:v>
      </x:c>
      <x:c r="I6" s="67" t="str">
        <x:v>S03-01、02</x:v>
      </x:c>
      <x:c r="J6" s="67" t="str">
        <x:v>否</x:v>
      </x:c>
      <x:c r="K6" s="67" t="str">
        <x:v>动作错峰；杯具非玻璃；不复制粘贴</x:v>
      </x:c>
      <x:c r="L6" s="67" t="str">
        <x:v>P1</x:v>
      </x:c>
      <x:c r="M6" s="67" t="str">
        <x:v>高</x:v>
      </x:c>
      <x:c r="N6" s="67" t="str">
        <x:v>未开始</x:v>
      </x:c>
    </x:row>
    <x:row r="7" ht="42" customHeight="1">
      <x:c r="A7" s="67" t="str">
        <x:v>GRP_G03_QI_ENVOY</x:v>
      </x:c>
      <x:c r="B7" s="67" t="str">
        <x:v>@G03</x:v>
      </x:c>
      <x:c r="C7" s="67" t="str">
        <x:v>齐地使者</x:v>
      </x:c>
      <x:c r="D7" s="67" t="str">
        <x:v>1 使者 + 2 随从</x:v>
      </x:c>
      <x:c r="E7" s="67" t="str">
        <x:v>约40岁使者；随从成年</x:v>
      </x:c>
      <x:c r="F7" s="67" t="str">
        <x:v>深青灰细织长衣；窄冠或整齐发髻</x:v>
      </x:c>
      <x:c r="G7" s="67" t="str">
        <x:v>双手托匣、礼貌停距、双手接回</x:v>
      </x:c>
      <x:c r="H7" s="67" t="str">
        <x:v>E05</x:v>
      </x:c>
      <x:c r="I7" s="67" t="str">
        <x:v>S04-03、04、06</x:v>
      </x:c>
      <x:c r="J7" s="67" t="str">
        <x:v>是：只做三人，不做通用六人</x:v>
      </x:c>
      <x:c r="K7" s="67" t="str">
        <x:v>不穿帝王朝服；印匣尺度和礼仪正确</x:v>
      </x:c>
      <x:c r="L7" s="67" t="str">
        <x:v>P0</x:v>
      </x:c>
      <x:c r="M7" s="67" t="str">
        <x:v>极高</x:v>
      </x:c>
      <x:c r="N7" s="67" t="str">
        <x:v>未开始</x:v>
      </x:c>
    </x:row>
    <x:row r="8" ht="42" customHeight="1">
      <x:c r="A8" s="67" t="str">
        <x:v>GRP_G04_WORKERS</x:v>
      </x:c>
      <x:c r="B8" s="67" t="str">
        <x:v>@G04</x:v>
      </x:c>
      <x:c r="C8" s="67" t="str">
        <x:v>农人/舟工/车夫</x:v>
      </x:c>
      <x:c r="D8" s="67" t="str">
        <x:v>多年龄、多性别、岗位差异</x:v>
      </x:c>
      <x:c r="E8" s="67" t="str">
        <x:v>成年男女</x:v>
      </x:c>
      <x:c r="F8" s="67" t="str">
        <x:v>米白、土褐、灰蓝粗织衣</x:v>
      </x:c>
      <x:c r="G8" s="67" t="str">
        <x:v>搬运、扎绳、推车、筛谷</x:v>
      </x:c>
      <x:c r="H8" s="67" t="str">
        <x:v>E05/E06/E08/E09</x:v>
      </x:c>
      <x:c r="I8" s="67" t="str">
        <x:v>S04-01、07；S05-03、06、08；S06-02、04</x:v>
      </x:c>
      <x:c r="J8" s="67" t="str">
        <x:v>否</x:v>
      </x:c>
      <x:c r="K8" s="67" t="str">
        <x:v>不看镜头；手有劳作痕迹；重量物理可信</x:v>
      </x:c>
      <x:c r="L8" s="67" t="str">
        <x:v>P1</x:v>
      </x:c>
      <x:c r="M8" s="67" t="str">
        <x:v>极高</x:v>
      </x:c>
      <x:c r="N8" s="67" t="str">
        <x:v>未开始</x:v>
      </x:c>
    </x:row>
    <x:row r="9" ht="42" customHeight="1">
      <x:c r="A9" s="67" t="str">
        <x:v>GRP_G05_TRADERS</x:v>
      </x:c>
      <x:c r="B9" s="67" t="str">
        <x:v>@G05</x:v>
      </x:c>
      <x:c r="C9" s="67" t="str">
        <x:v>陶地商旅</x:v>
      </x:c>
      <x:c r="D9" s="67" t="str">
        <x:v>小型商旅队伍</x:v>
      </x:c>
      <x:c r="E9" s="67" t="str">
        <x:v>年龄/地域略有差异</x:v>
      </x:c>
      <x:c r="F9" s="67" t="str">
        <x:v>不过度异域化；先秦低饱和</x:v>
      </x:c>
      <x:c r="G9" s="67" t="str">
        <x:v>查看度量、装车、回身致意</x:v>
      </x:c>
      <x:c r="H9" s="67" t="str">
        <x:v>E07</x:v>
      </x:c>
      <x:c r="I9" s="67" t="str">
        <x:v>S05-08、09、10</x:v>
      </x:c>
      <x:c r="J9" s="67" t="str">
        <x:v>否</x:v>
      </x:c>
      <x:c r="K9" s="67" t="str">
        <x:v>无握手签合同等现代礼仪；脸不重复</x:v>
      </x:c>
      <x:c r="L9" s="67" t="str">
        <x:v>P1</x:v>
      </x:c>
      <x:c r="M9" s="67" t="str">
        <x:v>高</x:v>
      </x:c>
      <x:c r="N9" s="67" t="str">
        <x:v>未开始</x:v>
      </x:c>
    </x:row>
    <x:row r="10" ht="42" customHeight="1">
      <x:c r="A10" s="67" t="str">
        <x:v>GRP_G06_LATER_WORSHIPPERS</x:v>
      </x:c>
      <x:c r="B10" s="67" t="str">
        <x:v>@G06</x:v>
      </x:c>
      <x:c r="C10" s="67" t="str">
        <x:v>后世香客</x:v>
      </x:c>
      <x:c r="D10" s="67" t="str">
        <x:v>仅剪影、手和供物</x:v>
      </x:c>
      <x:c r="E10" s="67" t="str">
        <x:v>成年人；年代模糊</x:v>
      </x:c>
      <x:c r="F10" s="67" t="str">
        <x:v>后世服装只做模糊局部</x:v>
      </x:c>
      <x:c r="G10" s="67" t="str">
        <x:v>下沿放供物后离开</x:v>
      </x:c>
      <x:c r="H10" s="67" t="str">
        <x:v>E01</x:v>
      </x:c>
      <x:c r="I10" s="67" t="str">
        <x:v>S07-01、02</x:v>
      </x:c>
      <x:c r="J10" s="67" t="str">
        <x:v>是：不生成六个清晰古代成人</x:v>
      </x:c>
      <x:c r="K10" s="67" t="str">
        <x:v>无手机、塑料袋、品牌或清晰现代服装</x:v>
      </x:c>
      <x:c r="L10" s="67" t="str">
        <x:v>P1</x:v>
      </x:c>
      <x:c r="M10" s="67" t="str">
        <x:v>高</x:v>
      </x:c>
      <x:c r="N10" s="67" t="str">
        <x:v>未开始</x:v>
      </x:c>
    </x:row>
  </x:sheetData>
  <x:mergeCells>
    <x:mergeCell ref="A1:N1"/>
    <x:mergeCell ref="A2:N2"/>
  </x:mergeCells>
  <x:conditionalFormatting sqref="L5:L10">
    <x:cfRule type="containsText" dxfId="33" priority="1" operator="containsText" text="P0"/>
    <x:cfRule type="containsText" dxfId="34" priority="2" operator="containsText" text="P1"/>
    <x:cfRule type="containsText" dxfId="35" priority="3" operator="containsText" text="P2"/>
  </x:conditionalFormatting>
  <x:conditionalFormatting sqref="M5:M10">
    <x:cfRule type="containsText" dxfId="36" priority="4" operator="containsText" text="极高"/>
    <x:cfRule type="containsText" dxfId="37" priority="5" operator="containsText" text="高"/>
    <x:cfRule type="containsText" dxfId="38" priority="6" operator="containsText" text="中"/>
    <x:cfRule type="containsText" dxfId="39" priority="7" operator="containsText" text="低"/>
  </x:conditionalFormatting>
  <x:conditionalFormatting sqref="N5:N10">
    <x:cfRule type="containsText" dxfId="40" priority="8" operator="containsText" text="已通过"/>
    <x:cfRule type="containsText" dxfId="41" priority="9" operator="containsText" text="进行中"/>
    <x:cfRule type="containsText" dxfId="42" priority="10" operator="containsText" text="阻塞"/>
    <x:cfRule type="containsText" dxfId="43" priority="11" operator="containsText" text="未开始"/>
    <x:cfRule type="containsText" dxfId="44" priority="12" operator="containsText" text="待检查"/>
  </x:conditionalFormatting>
  <x:dataValidations count="3">
    <x:dataValidation type="list" sqref="L5:L10">
      <x:formula1>"P0,P1,P2"</x:formula1>
    </x:dataValidation>
    <x:dataValidation type="list" sqref="M5:M10">
      <x:formula1>"低,中,高,极高"</x:formula1>
    </x:dataValidation>
    <x:dataValidation type="list" sqref="N5:N10">
      <x:formula1>"未开始,进行中,待检查,已通过,阻塞"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b5d1e8ef72428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4" hidden="0" customWidth="1"/>
    <x:col min="4" max="4" width="28" hidden="0" customWidth="1"/>
    <x:col min="5" max="5" width="12" hidden="0" customWidth="1"/>
    <x:col min="6" max="6" width="16" hidden="0" customWidth="1"/>
    <x:col min="7" max="7" width="26" hidden="0" customWidth="1"/>
    <x:col min="8" max="8" width="31" hidden="0" customWidth="1"/>
    <x:col min="9" max="9" width="31" hidden="0" customWidth="1"/>
    <x:col min="10" max="10" width="28" hidden="0" customWidth="1"/>
    <x:col min="11" max="11" width="10" hidden="0" customWidth="1"/>
    <x:col min="12" max="12" width="38" hidden="0" customWidth="1"/>
    <x:col min="13" max="13" width="38" hidden="0" customWidth="1"/>
    <x:col min="14" max="14" width="12" hidden="0" customWidth="1"/>
  </x:cols>
  <x:sheetData>
    <x:row r="1" ht="30" customHeight="1">
      <x:c r="A1" s="3" t="str">
        <x:v>05｜31 个含核心人物镜头覆盖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2" customHeight="1">
      <x:c r="A2" s="7" t="str">
        <x:v>角色资产进入 31/43 镜：@FL35 3 镜，@FL45 13 镜，@TZG60 10 镜，@STATUE 5 镜。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>
      <x:c r="A3" s="70"/>
      <x:c r="B3" s="70"/>
      <x:c r="C3" s="70"/>
      <x:c r="D3" s="70"/>
      <x:c r="E3" s="70"/>
      <x:c r="F3" s="70"/>
      <x:c r="G3" s="70"/>
      <x:c r="H3" s="70"/>
      <x:c r="I3" s="70"/>
      <x:c r="J3" s="70"/>
      <x:c r="K3" s="70"/>
      <x:c r="L3" s="70"/>
      <x:c r="M3" s="70"/>
      <x:c r="N3" s="70"/>
    </x:row>
    <x:row r="4" ht="34" customHeight="1">
      <x:c r="A4" s="58" t="str">
        <x:v>镜号</x:v>
      </x:c>
      <x:c r="B4" s="59" t="str">
        <x:v>时间码</x:v>
      </x:c>
      <x:c r="C4" s="59" t="str">
        <x:v>角色</x:v>
      </x:c>
      <x:c r="D4" s="59" t="str">
        <x:v>服装状态</x:v>
      </x:c>
      <x:c r="E4" s="59" t="str">
        <x:v>场景</x:v>
      </x:c>
      <x:c r="F4" s="59" t="str">
        <x:v>群演</x:v>
      </x:c>
      <x:c r="G4" s="59" t="str">
        <x:v>道具</x:v>
      </x:c>
      <x:c r="H4" s="59" t="str">
        <x:v>动作标签</x:v>
      </x:c>
      <x:c r="I4" s="59" t="str">
        <x:v>人物任务</x:v>
      </x:c>
      <x:c r="J4" s="59" t="str">
        <x:v>相机/构图</x:v>
      </x:c>
      <x:c r="K4" s="59" t="str">
        <x:v>风险</x:v>
      </x:c>
      <x:c r="L4" s="59" t="str">
        <x:v>静帧重点</x:v>
      </x:c>
      <x:c r="M4" s="59" t="str">
        <x:v>视频回退</x:v>
      </x:c>
      <x:c r="N4" s="60" t="str">
        <x:v>状态</x:v>
      </x:c>
    </x:row>
    <x:row r="5" ht="42" customHeight="1">
      <x:c r="A5" s="66" t="str">
        <x:v>S01-01</x:v>
      </x:c>
      <x:c r="B5" s="66" t="str">
        <x:v>00:00–00:04</x:v>
      </x:c>
      <x:c r="C5" s="66" t="str">
        <x:v>@STATUE</x:v>
      </x:c>
      <x:c r="D5" s="66" t="str">
        <x:v>@CST_STATUE_LATER_ROBE</x:v>
      </x:c>
      <x:c r="E5" s="66" t="str">
        <x:v>@E01</x:v>
      </x:c>
      <x:c r="F5" s="66" t="str">
        <x:v>—</x:v>
      </x:c>
      <x:c r="G5" s="66" t="str">
        <x:v>@P01/@P02/@P03</x:v>
      </x:c>
      <x:c r="H5" s="66" t="str">
        <x:v>@EXP_STATUE_CLOSED</x:v>
      </x:c>
      <x:c r="I5" s="66" t="str">
        <x:v>建立雕塑框架</x:v>
      </x:c>
      <x:c r="J5" s="66" t="str">
        <x:v>24mm 对称大全景，锁定</x:v>
      </x:c>
      <x:c r="K5" s="66" t="str">
        <x:v>极高</x:v>
      </x:c>
      <x:c r="L5" s="66" t="str">
        <x:v>正面直立；红高冠/金冠翅、龙纹云纹、双手物件、蓝浪圆座完整可见</x:v>
      </x:c>
      <x:c r="M5" s="66" t="str">
        <x:v>完全静止，只动烟和灯</x:v>
      </x:c>
      <x:c r="N5" s="66" t="str">
        <x:v>未开始</x:v>
      </x:c>
    </x:row>
    <x:row r="6" ht="42" customHeight="1">
      <x:c r="A6" s="67" t="str">
        <x:v>S01-02</x:v>
      </x:c>
      <x:c r="B6" s="67" t="str">
        <x:v>00:04–00:08</x:v>
      </x:c>
      <x:c r="C6" s="67" t="str">
        <x:v>@STATUE</x:v>
      </x:c>
      <x:c r="D6" s="67" t="str">
        <x:v>@CST_STATUE_LATER_ROBE</x:v>
      </x:c>
      <x:c r="E6" s="67" t="str">
        <x:v>@E01</x:v>
      </x:c>
      <x:c r="F6" s="67" t="str">
        <x:v>—</x:v>
      </x:c>
      <x:c r="G6" s="67" t="str">
        <x:v>@P02/@P03</x:v>
      </x:c>
      <x:c r="H6" s="67" t="str">
        <x:v>@EXP_STATUE_CLOSED</x:v>
      </x:c>
      <x:c r="I6" s="67" t="str">
        <x:v>连接神像与叙述者</x:v>
      </x:c>
      <x:c r="J6" s="67" t="str">
        <x:v>85mm 胸像近景</x:v>
      </x:c>
      <x:c r="K6" s="67" t="str">
        <x:v>极高</x:v>
      </x:c>
      <x:c r="L6" s="67" t="str">
        <x:v>脸仍为雕塑；平直黑眉、细长眼、长黑须和冠翅不漂移</x:v>
      </x:c>
      <x:c r="M6" s="67" t="str">
        <x:v>仅极慢推近；烟分层</x:v>
      </x:c>
      <x:c r="N6" s="67" t="str">
        <x:v>未开始</x:v>
      </x:c>
    </x:row>
    <x:row r="7" ht="42" customHeight="1">
      <x:c r="A7" s="67" t="str">
        <x:v>S01-03</x:v>
      </x:c>
      <x:c r="B7" s="67" t="str">
        <x:v>00:08–00:12</x:v>
      </x:c>
      <x:c r="C7" s="67" t="str">
        <x:v>@STATUE</x:v>
      </x:c>
      <x:c r="D7" s="67" t="str">
        <x:v>@CST_STATUE_LATER_ROBE</x:v>
      </x:c>
      <x:c r="E7" s="67" t="str">
        <x:v>@E01</x:v>
      </x:c>
      <x:c r="F7" s="67" t="str">
        <x:v>—</x:v>
      </x:c>
      <x:c r="G7" s="67" t="str">
        <x:v>@P01</x:v>
      </x:c>
      <x:c r="H7" s="67" t="str">
        <x:v>@EXP_STATUE_OPEN60</x:v>
      </x:c>
      <x:c r="I7" s="67" t="str">
        <x:v>克制睁眼钩子</x:v>
      </x:c>
      <x:c r="J7" s="67" t="str">
        <x:v>100mm 眼部极近特写</x:v>
      </x:c>
      <x:c r="K7" s="67" t="str">
        <x:v>极高</x:v>
      </x:c>
      <x:c r="L7" s="67" t="str">
        <x:v>同裂纹闭/开眼配对</x:v>
      </x:c>
      <x:c r="M7" s="67" t="str">
        <x:v>三状态局部合成；拒绝单条液化</x:v>
      </x:c>
      <x:c r="N7" s="67" t="str">
        <x:v>未开始</x:v>
      </x:c>
    </x:row>
    <x:row r="8" ht="42" customHeight="1">
      <x:c r="A8" s="67" t="str">
        <x:v>S02-04</x:v>
      </x:c>
      <x:c r="B8" s="67" t="str">
        <x:v>00:28–00:33</x:v>
      </x:c>
      <x:c r="C8" s="67" t="str">
        <x:v>@FL35</x:v>
      </x:c>
      <x:c r="D8" s="67" t="str">
        <x:v>@CST_FL35_YUE_RAIN</x:v>
      </x:c>
      <x:c r="E8" s="67" t="str">
        <x:v>@E02</x:v>
      </x:c>
      <x:c r="F8" s="67" t="str">
        <x:v>—</x:v>
      </x:c>
      <x:c r="G8" s="67" t="str">
        <x:v>@P04</x:v>
      </x:c>
      <x:c r="H8" s="67" t="str">
        <x:v>@EXP_FL35_OBSERVE</x:v>
      </x:c>
      <x:c r="I8" s="67" t="str">
        <x:v>首次完整看见青年范蠡</x:v>
      </x:c>
      <x:c r="J8" s="67" t="str">
        <x:v>50mm 右1/3中景</x:v>
      </x:c>
      <x:c r="K8" s="67" t="str">
        <x:v>高</x:v>
      </x:c>
      <x:c r="L8" s="67" t="str">
        <x:v>右肩湿深、泥点、眉尾断点</x:v>
      </x:c>
      <x:c r="M8" s="67" t="str">
        <x:v>减少转头，只动目光</x:v>
      </x:c>
      <x:c r="N8" s="67" t="str">
        <x:v>未开始</x:v>
      </x:c>
    </x:row>
    <x:row r="9" ht="42" customHeight="1">
      <x:c r="A9" s="67" t="str">
        <x:v>S02-05</x:v>
      </x:c>
      <x:c r="B9" s="67" t="str">
        <x:v>00:33–00:39</x:v>
      </x:c>
      <x:c r="C9" s="67" t="str">
        <x:v>@FL35</x:v>
      </x:c>
      <x:c r="D9" s="67" t="str">
        <x:v>@CST_FL35_YUE_RAIN</x:v>
      </x:c>
      <x:c r="E9" s="67" t="str">
        <x:v>@E02</x:v>
      </x:c>
      <x:c r="F9" s="67" t="str">
        <x:v>—</x:v>
      </x:c>
      <x:c r="G9" s="67" t="str">
        <x:v>@P04/@P19</x:v>
      </x:c>
      <x:c r="H9" s="67" t="str">
        <x:v>@HND_FL35_BAMBOO_STOP</x:v>
      </x:c>
      <x:c r="I9" s="67" t="str">
        <x:v>以不翻简表现克制</x:v>
      </x:c>
      <x:c r="J9" s="67" t="str">
        <x:v>85mm 手部近景</x:v>
      </x:c>
      <x:c r="K9" s="67" t="str">
        <x:v>极高</x:v>
      </x:c>
      <x:c r="L9" s="67" t="str">
        <x:v>食指接触、五指与竹简正确</x:v>
      </x:c>
      <x:c r="M9" s="67" t="str">
        <x:v>手与水纹分层</x:v>
      </x:c>
      <x:c r="N9" s="67" t="str">
        <x:v>未开始</x:v>
      </x:c>
    </x:row>
    <x:row r="10" ht="42" customHeight="1">
      <x:c r="A10" s="67" t="str">
        <x:v>S02-06</x:v>
      </x:c>
      <x:c r="B10" s="67" t="str">
        <x:v>00:39–00:45</x:v>
      </x:c>
      <x:c r="C10" s="67" t="str">
        <x:v>@FL35</x:v>
      </x:c>
      <x:c r="D10" s="67" t="str">
        <x:v>@CST_FL35_YUE_RAIN</x:v>
      </x:c>
      <x:c r="E10" s="67" t="str">
        <x:v>@E02</x:v>
      </x:c>
      <x:c r="F10" s="67" t="str">
        <x:v>—</x:v>
      </x:c>
      <x:c r="G10" s="67" t="str">
        <x:v>@P19</x:v>
      </x:c>
      <x:c r="H10" s="67" t="str">
        <x:v>@EXP_FL35_EYES_UP</x:v>
      </x:c>
      <x:c r="I10" s="67" t="str">
        <x:v>倒影显出时机</x:v>
      </x:c>
      <x:c r="J10" s="67" t="str">
        <x:v>50mm 俯拍倒影</x:v>
      </x:c>
      <x:c r="K10" s="67" t="str">
        <x:v>极高</x:v>
      </x:c>
      <x:c r="L10" s="67" t="str">
        <x:v>倒影身份与轮廓稳定</x:v>
      </x:c>
      <x:c r="M10" s="67" t="str">
        <x:v>只保留轮廓/视线；分层水纹</x:v>
      </x:c>
      <x:c r="N10" s="67" t="str">
        <x:v>未开始</x:v>
      </x:c>
    </x:row>
    <x:row r="11" ht="42" customHeight="1">
      <x:c r="A11" s="67" t="str">
        <x:v>S03-02</x:v>
      </x:c>
      <x:c r="B11" s="67" t="str">
        <x:v>00:50–00:56</x:v>
      </x:c>
      <x:c r="C11" s="67" t="str">
        <x:v>@FL45</x:v>
      </x:c>
      <x:c r="D11" s="67" t="str">
        <x:v>@CST_FL45_YUE_DEPART</x:v>
      </x:c>
      <x:c r="E11" s="67" t="str">
        <x:v>@E04</x:v>
      </x:c>
      <x:c r="F11" s="67" t="str">
        <x:v>@G02</x:v>
      </x:c>
      <x:c r="G11" s="67" t="str">
        <x:v>—</x:v>
      </x:c>
      <x:c r="H11" s="67" t="str">
        <x:v>@EXP_FL45_PATH_DECISION</x:v>
      </x:c>
      <x:c r="I11" s="67" t="str">
        <x:v>热闹边缘的不留下</x:v>
      </x:c>
      <x:c r="J11" s="67" t="str">
        <x:v>65mm 左边缘浅景深</x:v>
      </x:c>
      <x:c r="K11" s="67" t="str">
        <x:v>高</x:v>
      </x:c>
      <x:c r="L11" s="67" t="str">
        <x:v>准确45岁脸；不英雄化</x:v>
      </x:c>
      <x:c r="M11" s="67" t="str">
        <x:v>只动眼睛和下巴</x:v>
      </x:c>
      <x:c r="N11" s="67" t="str">
        <x:v>未开始</x:v>
      </x:c>
    </x:row>
    <x:row r="12" ht="42" customHeight="1">
      <x:c r="A12" s="67" t="str">
        <x:v>S03-03</x:v>
      </x:c>
      <x:c r="B12" s="67" t="str">
        <x:v>00:56–01:02</x:v>
      </x:c>
      <x:c r="C12" s="67" t="str">
        <x:v>@FL45</x:v>
      </x:c>
      <x:c r="D12" s="67" t="str">
        <x:v>@CST_FL45_YUE_DEPART</x:v>
      </x:c>
      <x:c r="E12" s="67" t="str">
        <x:v>@E04</x:v>
      </x:c>
      <x:c r="F12" s="67" t="str">
        <x:v>—</x:v>
      </x:c>
      <x:c r="G12" s="67" t="str">
        <x:v>@P09A/@P20</x:v>
      </x:c>
      <x:c r="H12" s="67" t="str">
        <x:v>—</x:v>
      </x:c>
      <x:c r="I12" s="67" t="str">
        <x:v>走向水岸</x:v>
      </x:c>
      <x:c r="J12" s="67" t="str">
        <x:v>40mm 后跟中全景</x:v>
      </x:c>
      <x:c r="K12" s="67" t="str">
        <x:v>中</x:v>
      </x:c>
      <x:c r="L12" s="67" t="str">
        <x:v>披衣/步态/舟位置连续</x:v>
      </x:c>
      <x:c r="M12" s="67" t="str">
        <x:v>稳定后跟；不回头</x:v>
      </x:c>
      <x:c r="N12" s="67" t="str">
        <x:v>未开始</x:v>
      </x:c>
    </x:row>
    <x:row r="13" ht="42" customHeight="1">
      <x:c r="A13" s="67" t="str">
        <x:v>S03-04</x:v>
      </x:c>
      <x:c r="B13" s="67" t="str">
        <x:v>01:02–01:08</x:v>
      </x:c>
      <x:c r="C13" s="67" t="str">
        <x:v>@FL45</x:v>
      </x:c>
      <x:c r="D13" s="67" t="str">
        <x:v>@CST_FL45_YUE_DEPART</x:v>
      </x:c>
      <x:c r="E13" s="67" t="str">
        <x:v>@E04</x:v>
      </x:c>
      <x:c r="F13" s="67" t="str">
        <x:v>—</x:v>
      </x:c>
      <x:c r="G13" s="67" t="str">
        <x:v>@P09A/@P20</x:v>
      </x:c>
      <x:c r="H13" s="67" t="str">
        <x:v>@HND_FL45_UNTIE_ROPE</x:v>
      </x:c>
      <x:c r="I13" s="67" t="str">
        <x:v>用解绳完成决定</x:v>
      </x:c>
      <x:c r="J13" s="67" t="str">
        <x:v>85mm 手部特写</x:v>
      </x:c>
      <x:c r="K13" s="67" t="str">
        <x:v>极高</x:v>
      </x:c>
      <x:c r="L13" s="67" t="str">
        <x:v>正确绳结、湿纤维、修补板</x:v>
      </x:c>
      <x:c r="M13" s="67" t="str">
        <x:v>拆起止两条，以绳尾遮挡切</x:v>
      </x:c>
      <x:c r="N13" s="67" t="str">
        <x:v>未开始</x:v>
      </x:c>
    </x:row>
    <x:row r="14" ht="42" customHeight="1">
      <x:c r="A14" s="67" t="str">
        <x:v>S03-05</x:v>
      </x:c>
      <x:c r="B14" s="67" t="str">
        <x:v>01:08–01:14</x:v>
      </x:c>
      <x:c r="C14" s="67" t="str">
        <x:v>@FL45</x:v>
      </x:c>
      <x:c r="D14" s="67" t="str">
        <x:v>@CST_FL45_YUE_DEPART</x:v>
      </x:c>
      <x:c r="E14" s="67" t="str">
        <x:v>@E04</x:v>
      </x:c>
      <x:c r="F14" s="67" t="str">
        <x:v>舟工</x:v>
      </x:c>
      <x:c r="G14" s="67" t="str">
        <x:v>@P09A</x:v>
      </x:c>
      <x:c r="H14" s="67" t="str">
        <x:v>—</x:v>
      </x:c>
      <x:c r="I14" s="67" t="str">
        <x:v>船离岸且不回头</x:v>
      </x:c>
      <x:c r="J14" s="67" t="str">
        <x:v>70mm 岸上长焦</x:v>
      </x:c>
      <x:c r="K14" s="67" t="str">
        <x:v>极高</x:v>
      </x:c>
      <x:c r="L14" s="67" t="str">
        <x:v>方向背城；人物/舟一致</x:v>
      </x:c>
      <x:c r="M14" s="67" t="str">
        <x:v>一桨一动作；缩短稳定区</x:v>
      </x:c>
      <x:c r="N14" s="67" t="str">
        <x:v>未开始</x:v>
      </x:c>
    </x:row>
    <x:row r="15" ht="42" customHeight="1">
      <x:c r="A15" s="67" t="str">
        <x:v>S03-06</x:v>
      </x:c>
      <x:c r="B15" s="67" t="str">
        <x:v>01:14–01:20</x:v>
      </x:c>
      <x:c r="C15" s="67" t="str">
        <x:v>@FL45</x:v>
      </x:c>
      <x:c r="D15" s="67" t="str">
        <x:v>@CST_FL45_YUE_DEPART</x:v>
      </x:c>
      <x:c r="E15" s="67" t="str">
        <x:v>@E04</x:v>
      </x:c>
      <x:c r="F15" s="67" t="str">
        <x:v>—</x:v>
      </x:c>
      <x:c r="G15" s="67" t="str">
        <x:v>@P09A/@P19</x:v>
      </x:c>
      <x:c r="H15" s="67" t="str">
        <x:v>—</x:v>
      </x:c>
      <x:c r="I15" s="67" t="str">
        <x:v>让城市缩小</x:v>
      </x:c>
      <x:c r="J15" s="67" t="str">
        <x:v>35mm 高位极慢拉远</x:v>
      </x:c>
      <x:c r="K15" s="67" t="str">
        <x:v>中</x:v>
      </x:c>
      <x:c r="L15" s="67" t="str">
        <x:v>人物年龄与船形保持</x:v>
      </x:c>
      <x:c r="M15" s="67" t="str">
        <x:v>舟保持小比例，避免细脸</x:v>
      </x:c>
      <x:c r="N15" s="67" t="str">
        <x:v>未开始</x:v>
      </x:c>
    </x:row>
    <x:row r="16" ht="42" customHeight="1">
      <x:c r="A16" s="67" t="str">
        <x:v>S04-01</x:v>
      </x:c>
      <x:c r="B16" s="67" t="str">
        <x:v>01:20–01:26</x:v>
      </x:c>
      <x:c r="C16" s="67" t="str">
        <x:v>@FL45</x:v>
      </x:c>
      <x:c r="D16" s="67" t="str">
        <x:v>@CST_FL45_QI_WORK</x:v>
      </x:c>
      <x:c r="E16" s="67" t="str">
        <x:v>@E05</x:v>
      </x:c>
      <x:c r="F16" s="67" t="str">
        <x:v>@G04</x:v>
      </x:c>
      <x:c r="G16" s="67" t="str">
        <x:v>@P12</x:v>
      </x:c>
      <x:c r="H16" s="67" t="str">
        <x:v>—</x:v>
      </x:c>
      <x:c r="I16" s="67" t="str">
        <x:v>建立齐地新身份</x:v>
      </x:c>
      <x:c r="J16" s="67" t="str">
        <x:v>32mm 宽景</x:v>
      </x:c>
      <x:c r="K16" s="67" t="str">
        <x:v>高</x:v>
      </x:c>
      <x:c r="L16" s="67" t="str">
        <x:v>工作衣、农具和角色一致</x:v>
      </x:c>
      <x:c r="M16" s="67" t="str">
        <x:v>小幅卷袖与清沟</x:v>
      </x:c>
      <x:c r="N16" s="67" t="str">
        <x:v>未开始</x:v>
      </x:c>
    </x:row>
    <x:row r="17" ht="42" customHeight="1">
      <x:c r="A17" s="67" t="str">
        <x:v>S04-02</x:v>
      </x:c>
      <x:c r="B17" s="67" t="str">
        <x:v>01:26–01:31</x:v>
      </x:c>
      <x:c r="C17" s="67" t="str">
        <x:v>@FL45</x:v>
      </x:c>
      <x:c r="D17" s="67" t="str">
        <x:v>@CST_FL45_QI_WORK</x:v>
      </x:c>
      <x:c r="E17" s="67" t="str">
        <x:v>@E05</x:v>
      </x:c>
      <x:c r="F17" s="67" t="str">
        <x:v>—</x:v>
      </x:c>
      <x:c r="G17" s="67" t="str">
        <x:v>@P04/@P07/@P14</x:v>
      </x:c>
      <x:c r="H17" s="67" t="str">
        <x:v>@HND_FL45_LEVEL_MEASURE</x:v>
      </x:c>
      <x:c r="I17" s="67" t="str">
        <x:v>公平度量</x:v>
      </x:c>
      <x:c r="J17" s="67" t="str">
        <x:v>55mm 低案近景</x:v>
      </x:c>
      <x:c r="K17" s="67" t="str">
        <x:v>极高</x:v>
      </x:c>
      <x:c r="L17" s="67" t="str">
        <x:v>手、量器、谷物比例</x:v>
      </x:c>
      <x:c r="M17" s="67" t="str">
        <x:v>只做刮平与推送</x:v>
      </x:c>
      <x:c r="N17" s="67" t="str">
        <x:v>未开始</x:v>
      </x:c>
    </x:row>
    <x:row r="18" ht="42" customHeight="1">
      <x:c r="A18" s="67" t="str">
        <x:v>S04-03</x:v>
      </x:c>
      <x:c r="B18" s="67" t="str">
        <x:v>01:31–01:36</x:v>
      </x:c>
      <x:c r="C18" s="67" t="str">
        <x:v>@FL45</x:v>
      </x:c>
      <x:c r="D18" s="67" t="str">
        <x:v>@CST_FL45_QI_ENVOY</x:v>
      </x:c>
      <x:c r="E18" s="67" t="str">
        <x:v>@E05</x:v>
      </x:c>
      <x:c r="F18" s="67" t="str">
        <x:v>@G03</x:v>
      </x:c>
      <x:c r="G18" s="67" t="str">
        <x:v>@P10/@P11</x:v>
      </x:c>
      <x:c r="H18" s="67" t="str">
        <x:v>—</x:v>
      </x:c>
      <x:c r="I18" s="67" t="str">
        <x:v>使者进入朴素院落</x:v>
      </x:c>
      <x:c r="J18" s="67" t="str">
        <x:v>45mm 门框固定</x:v>
      </x:c>
      <x:c r="K18" s="67" t="str">
        <x:v>高</x:v>
      </x:c>
      <x:c r="L18" s="67" t="str">
        <x:v>会面服装连续；印匣克制</x:v>
      </x:c>
      <x:c r="M18" s="67" t="str">
        <x:v>使者停距后人物转身</x:v>
      </x:c>
      <x:c r="N18" s="67" t="str">
        <x:v>未开始</x:v>
      </x:c>
    </x:row>
    <x:row r="19" ht="42" customHeight="1">
      <x:c r="A19" s="67" t="str">
        <x:v>S04-04</x:v>
      </x:c>
      <x:c r="B19" s="67" t="str">
        <x:v>01:36–01:42</x:v>
      </x:c>
      <x:c r="C19" s="67" t="str">
        <x:v>@FL45</x:v>
      </x:c>
      <x:c r="D19" s="67" t="str">
        <x:v>@CST_FL45_QI_ENVOY</x:v>
      </x:c>
      <x:c r="E19" s="67" t="str">
        <x:v>@E05</x:v>
      </x:c>
      <x:c r="F19" s="67" t="str">
        <x:v>@G03</x:v>
      </x:c>
      <x:c r="G19" s="67" t="str">
        <x:v>@P10/@P11</x:v>
      </x:c>
      <x:c r="H19" s="67" t="str">
        <x:v>@HND_FL45_SEAL_STOP</x:v>
      </x:c>
      <x:c r="I19" s="67" t="str">
        <x:v>把印信拍成选择</x:v>
      </x:c>
      <x:c r="J19" s="67" t="str">
        <x:v>90mm 手与印信特写</x:v>
      </x:c>
      <x:c r="K19" s="67" t="str">
        <x:v>极高</x:v>
      </x:c>
      <x:c r="L19" s="67" t="str">
        <x:v>两指距离；印信只占1/6</x:v>
      </x:c>
      <x:c r="M19" s="67" t="str">
        <x:v>局部手动，最终停住</x:v>
      </x:c>
      <x:c r="N19" s="67" t="str">
        <x:v>未开始</x:v>
      </x:c>
    </x:row>
    <x:row r="20" ht="42" customHeight="1">
      <x:c r="A20" s="67" t="str">
        <x:v>S04-05</x:v>
      </x:c>
      <x:c r="B20" s="67" t="str">
        <x:v>01:42–01:47</x:v>
      </x:c>
      <x:c r="C20" s="67" t="str">
        <x:v>@FL45</x:v>
      </x:c>
      <x:c r="D20" s="67" t="str">
        <x:v>@CST_FL45_QI_ENVOY</x:v>
      </x:c>
      <x:c r="E20" s="67" t="str">
        <x:v>@E05</x:v>
      </x:c>
      <x:c r="F20" s="67" t="str">
        <x:v>—</x:v>
      </x:c>
      <x:c r="G20" s="67" t="str">
        <x:v>—</x:v>
      </x:c>
      <x:c r="H20" s="67" t="str">
        <x:v>@EXP_FL45_SEAL_DECISION</x:v>
      </x:c>
      <x:c r="I20" s="67" t="str">
        <x:v>用收手完成判断</x:v>
      </x:c>
      <x:c r="J20" s="67" t="str">
        <x:v>75mm 面部近景</x:v>
      </x:c>
      <x:c r="K20" s="67" t="str">
        <x:v>高</x:v>
      </x:c>
      <x:c r="L20" s="67" t="str">
        <x:v>年龄/短须/鬓灰固定</x:v>
      </x:c>
      <x:c r="M20" s="67" t="str">
        <x:v>极慢推近；手收袖</x:v>
      </x:c>
      <x:c r="N20" s="67" t="str">
        <x:v>未开始</x:v>
      </x:c>
    </x:row>
    <x:row r="21" ht="42" customHeight="1">
      <x:c r="A21" s="67" t="str">
        <x:v>S04-06</x:v>
      </x:c>
      <x:c r="B21" s="67" t="str">
        <x:v>01:47–01:53</x:v>
      </x:c>
      <x:c r="C21" s="67" t="str">
        <x:v>@FL45</x:v>
      </x:c>
      <x:c r="D21" s="67" t="str">
        <x:v>@CST_FL45_QI_ENVOY</x:v>
      </x:c>
      <x:c r="E21" s="67" t="str">
        <x:v>@E05</x:v>
      </x:c>
      <x:c r="F21" s="67" t="str">
        <x:v>@G03</x:v>
      </x:c>
      <x:c r="G21" s="67" t="str">
        <x:v>@P10/@P11</x:v>
      </x:c>
      <x:c r="H21" s="67" t="str">
        <x:v>@HND_FL45_RETURN_BOX</x:v>
      </x:c>
      <x:c r="I21" s="67" t="str">
        <x:v>礼仪性归还</x:v>
      </x:c>
      <x:c r="J21" s="67" t="str">
        <x:v>50mm 双人中景</x:v>
      </x:c>
      <x:c r="K21" s="67" t="str">
        <x:v>极高</x:v>
      </x:c>
      <x:c r="L21" s="67" t="str">
        <x:v>双方手与匣不粘连</x:v>
      </x:c>
      <x:c r="M21" s="67" t="str">
        <x:v>拆“转向”与“接住”两个特写</x:v>
      </x:c>
      <x:c r="N21" s="67" t="str">
        <x:v>未开始</x:v>
      </x:c>
    </x:row>
    <x:row r="22" ht="42" customHeight="1">
      <x:c r="A22" s="67" t="str">
        <x:v>S04-07</x:v>
      </x:c>
      <x:c r="B22" s="67" t="str">
        <x:v>01:53–01:59</x:v>
      </x:c>
      <x:c r="C22" s="67" t="str">
        <x:v>@FL45</x:v>
      </x:c>
      <x:c r="D22" s="67" t="str">
        <x:v>@CST_FL45_QI_WORK</x:v>
      </x:c>
      <x:c r="E22" s="67" t="str">
        <x:v>@E05</x:v>
      </x:c>
      <x:c r="F22" s="67" t="str">
        <x:v>@G04</x:v>
      </x:c>
      <x:c r="G22" s="67" t="str">
        <x:v>@P07/@P16/@P17</x:v>
      </x:c>
      <x:c r="H22" s="67" t="str">
        <x:v>@HND_FL45_GRAIN_PASS 等</x:v>
      </x:c>
      <x:c r="I22" s="67" t="str">
        <x:v>散财为具体物资交付</x:v>
      </x:c>
      <x:c r="J22" s="67" t="str">
        <x:v>50–70mm 轴线固定</x:v>
      </x:c>
      <x:c r="K22" s="67" t="str">
        <x:v>极高</x:v>
      </x:c>
      <x:c r="L22" s="67" t="str">
        <x:v>三种物资各自独立关键帧</x:v>
      </x:c>
      <x:c r="M22" s="67" t="str">
        <x:v>三条视频匹配切，统一左到右</x:v>
      </x:c>
      <x:c r="N22" s="67" t="str">
        <x:v>未开始</x:v>
      </x:c>
    </x:row>
    <x:row r="23" ht="42" customHeight="1">
      <x:c r="A23" s="67" t="str">
        <x:v>S04-08</x:v>
      </x:c>
      <x:c r="B23" s="67" t="str">
        <x:v>01:59–02:05</x:v>
      </x:c>
      <x:c r="C23" s="67" t="str">
        <x:v>@FL45</x:v>
      </x:c>
      <x:c r="D23" s="67" t="str">
        <x:v>@CST_FL45_QI_WORK</x:v>
      </x:c>
      <x:c r="E23" s="67" t="str">
        <x:v>@E05</x:v>
      </x:c>
      <x:c r="F23" s="67" t="str">
        <x:v>—</x:v>
      </x:c>
      <x:c r="G23" s="67" t="str">
        <x:v>@P20</x:v>
      </x:c>
      <x:c r="H23" s="67" t="str">
        <x:v>—</x:v>
      </x:c>
      <x:c r="I23" s="67" t="str">
        <x:v>再次离开</x:v>
      </x:c>
      <x:c r="J23" s="67" t="str">
        <x:v>55mm 侧后远景</x:v>
      </x:c>
      <x:c r="K23" s="67" t="str">
        <x:v>中</x:v>
      </x:c>
      <x:c r="L23" s="67" t="str">
        <x:v>小行囊、衣服、路径连续</x:v>
      </x:c>
      <x:c r="M23" s="67" t="str">
        <x:v>人物出画后空镜1秒</x:v>
      </x:c>
      <x:c r="N23" s="67" t="str">
        <x:v>未开始</x:v>
      </x:c>
    </x:row>
    <x:row r="24" ht="42" customHeight="1">
      <x:c r="A24" s="67" t="str">
        <x:v>S05-02</x:v>
      </x:c>
      <x:c r="B24" s="67" t="str">
        <x:v>02:11–02:17</x:v>
      </x:c>
      <x:c r="C24" s="67" t="str">
        <x:v>@TZG60</x:v>
      </x:c>
      <x:c r="D24" s="67" t="str">
        <x:v>@CST_TZG60_TAO_BASE</x:v>
      </x:c>
      <x:c r="E24" s="67" t="str">
        <x:v>@E06</x:v>
      </x:c>
      <x:c r="F24" s="67" t="str">
        <x:v>—</x:v>
      </x:c>
      <x:c r="G24" s="67" t="str">
        <x:v>@P09B/@P15</x:v>
      </x:c>
      <x:c r="H24" s="67" t="str">
        <x:v>@EXP_TZG60_ALERT</x:v>
      </x:c>
      <x:c r="I24" s="67" t="str">
        <x:v>首次出现陶朱公</x:v>
      </x:c>
      <x:c r="J24" s="67" t="str">
        <x:v>65mm 柳树旁中景</x:v>
      </x:c>
      <x:c r="K24" s="67" t="str">
        <x:v>高</x:v>
      </x:c>
      <x:c r="L24" s="67" t="str">
        <x:v>60岁身份、胡须、腰带结</x:v>
      </x:c>
      <x:c r="M24" s="67" t="str">
        <x:v>仅转眼和轻微转头</x:v>
      </x:c>
      <x:c r="N24" s="67" t="str">
        <x:v>未开始</x:v>
      </x:c>
    </x:row>
    <x:row r="25" ht="42" customHeight="1">
      <x:c r="A25" s="67" t="str">
        <x:v>S05-05</x:v>
      </x:c>
      <x:c r="B25" s="67" t="str">
        <x:v>02:29–02:35</x:v>
      </x:c>
      <x:c r="C25" s="67" t="str">
        <x:v>@TZG60</x:v>
      </x:c>
      <x:c r="D25" s="67" t="str">
        <x:v>@CST_TZG60_TAO_BASE</x:v>
      </x:c>
      <x:c r="E25" s="67" t="str">
        <x:v>@E06</x:v>
      </x:c>
      <x:c r="F25" s="67" t="str">
        <x:v>—</x:v>
      </x:c>
      <x:c r="G25" s="67" t="str">
        <x:v>@P19</x:v>
      </x:c>
      <x:c r="H25" s="67" t="str">
        <x:v>@HND_TZG60_TOUCH_SOIL</x:v>
      </x:c>
      <x:c r="I25" s="67" t="str">
        <x:v>春季观察供应</x:v>
      </x:c>
      <x:c r="J25" s="67" t="str">
        <x:v>40mm 慢摇</x:v>
      </x:c>
      <x:c r="K25" s="67" t="str">
        <x:v>高</x:v>
      </x:c>
      <x:c r="L25" s="67" t="str">
        <x:v>身份小比例仍稳定</x:v>
      </x:c>
      <x:c r="M25" s="67" t="str">
        <x:v>摸土拆分为近景备用</x:v>
      </x:c>
      <x:c r="N25" s="67" t="str">
        <x:v>未开始</x:v>
      </x:c>
    </x:row>
    <x:row r="26" ht="42" customHeight="1">
      <x:c r="A26" s="67" t="str">
        <x:v>S05-06</x:v>
      </x:c>
      <x:c r="B26" s="67" t="str">
        <x:v>02:35–02:41</x:v>
      </x:c>
      <x:c r="C26" s="67" t="str">
        <x:v>@TZG60</x:v>
      </x:c>
      <x:c r="D26" s="67" t="str">
        <x:v>@CST_TZG60_SUMMER_LIGHT</x:v>
      </x:c>
      <x:c r="E26" s="67" t="str">
        <x:v>@E06</x:v>
      </x:c>
      <x:c r="F26" s="67" t="str">
        <x:v>@G04</x:v>
      </x:c>
      <x:c r="G26" s="67" t="str">
        <x:v>@P09B/@P20</x:v>
      </x:c>
      <x:c r="H26" s="67" t="str">
        <x:v>@HND_TZG60_WATERMARK</x:v>
      </x:c>
      <x:c r="I26" s="67" t="str">
        <x:v>夏季运输风险</x:v>
      </x:c>
      <x:c r="J26" s="67" t="str">
        <x:v>40mm 锁定</x:v>
      </x:c>
      <x:c r="K26" s="67" t="str">
        <x:v>高</x:v>
      </x:c>
      <x:c r="L26" s="67" t="str">
        <x:v>夏装需导演确认；风向一致</x:v>
      </x:c>
      <x:c r="M26" s="67" t="str">
        <x:v>只做小手势；水/绳分层</x:v>
      </x:c>
      <x:c r="N26" s="67" t="str">
        <x:v>未开始</x:v>
      </x:c>
    </x:row>
    <x:row r="27" ht="42" customHeight="1">
      <x:c r="A27" s="67" t="str">
        <x:v>S05-07</x:v>
      </x:c>
      <x:c r="B27" s="67" t="str">
        <x:v>02:41–02:47</x:v>
      </x:c>
      <x:c r="C27" s="67" t="str">
        <x:v>@TZG60</x:v>
      </x:c>
      <x:c r="D27" s="67" t="str">
        <x:v>@CST_TZG60_TAO_BASE</x:v>
      </x:c>
      <x:c r="E27" s="67" t="str">
        <x:v>@E07</x:v>
      </x:c>
      <x:c r="F27" s="67" t="str">
        <x:v>—</x:v>
      </x:c>
      <x:c r="G27" s="67" t="str">
        <x:v>@P07/@P13/@P14</x:v>
      </x:c>
      <x:c r="H27" s="67" t="str">
        <x:v>@HND_TZG60_THREE_GRAINS</x:v>
      </x:c>
      <x:c r="I27" s="67" t="str">
        <x:v>质量判断</x:v>
      </x:c>
      <x:c r="J27" s="67" t="str">
        <x:v>75mm 手眼双焦点</x:v>
      </x:c>
      <x:c r="K27" s="67" t="str">
        <x:v>极高</x:v>
      </x:c>
      <x:c r="L27" s="67" t="str">
        <x:v>恰好三粒；脸手一致</x:v>
      </x:c>
      <x:c r="M27" s="67" t="str">
        <x:v>闻/看/掰拆动作</x:v>
      </x:c>
      <x:c r="N27" s="67" t="str">
        <x:v>未开始</x:v>
      </x:c>
    </x:row>
    <x:row r="28" ht="42" customHeight="1">
      <x:c r="A28" s="67" t="str">
        <x:v>S05-08</x:v>
      </x:c>
      <x:c r="B28" s="67" t="str">
        <x:v>02:47–02:53</x:v>
      </x:c>
      <x:c r="C28" s="67" t="str">
        <x:v>@TZG60</x:v>
      </x:c>
      <x:c r="D28" s="67" t="str">
        <x:v>@CST_TZG60_TAO_CLOAK</x:v>
      </x:c>
      <x:c r="E28" s="67" t="str">
        <x:v>@E07</x:v>
      </x:c>
      <x:c r="F28" s="67" t="str">
        <x:v>@G04/@G05</x:v>
      </x:c>
      <x:c r="G28" s="67" t="str">
        <x:v>@P07/@P14</x:v>
      </x:c>
      <x:c r="H28" s="67" t="str">
        <x:v>@HND_TZG60_ROTATE_MEASURE</x:v>
      </x:c>
      <x:c r="I28" s="67" t="str">
        <x:v>冬季秩序</x:v>
      </x:c>
      <x:c r="J28" s="67" t="str">
        <x:v>50mm 轻前移</x:v>
      </x:c>
      <x:c r="K28" s="67" t="str">
        <x:v>极高</x:v>
      </x:c>
      <x:c r="L28" s="67" t="str">
        <x:v>量器与双方手正确</x:v>
      </x:c>
      <x:c r="M28" s="67" t="str">
        <x:v>只旋转量器并推送</x:v>
      </x:c>
      <x:c r="N28" s="67" t="str">
        <x:v>未开始</x:v>
      </x:c>
    </x:row>
    <x:row r="29" ht="42" customHeight="1">
      <x:c r="A29" s="67" t="str">
        <x:v>S05-09</x:v>
      </x:c>
      <x:c r="B29" s="67" t="str">
        <x:v>02:53–02:59</x:v>
      </x:c>
      <x:c r="C29" s="67" t="str">
        <x:v>@TZG60</x:v>
      </x:c>
      <x:c r="D29" s="67" t="str">
        <x:v>@CST_TZG60_TAO_CLOAK</x:v>
      </x:c>
      <x:c r="E29" s="67" t="str">
        <x:v>@E07</x:v>
      </x:c>
      <x:c r="F29" s="67" t="str">
        <x:v>@G05</x:v>
      </x:c>
      <x:c r="G29" s="67" t="str">
        <x:v>@P04/@P13/@P14</x:v>
      </x:c>
      <x:c r="H29" s="67" t="str">
        <x:v>@HND_TZG60_OFF_BALANCE</x:v>
      </x:c>
      <x:c r="I29" s="67" t="str">
        <x:v>信用可见</x:v>
      </x:c>
      <x:c r="J29" s="67" t="str">
        <x:v>80mm 衡器侧特写</x:v>
      </x:c>
      <x:c r="K29" s="67" t="str">
        <x:v>极高</x:v>
      </x:c>
      <x:c r="L29" s="67" t="str">
        <x:v>衡器形制；手离秤盘</x:v>
      </x:c>
      <x:c r="M29" s="67" t="str">
        <x:v>局部驱动，三次内停平</x:v>
      </x:c>
      <x:c r="N29" s="67" t="str">
        <x:v>未开始</x:v>
      </x:c>
    </x:row>
    <x:row r="30" ht="42" customHeight="1">
      <x:c r="A30" s="67" t="str">
        <x:v>S05-10</x:v>
      </x:c>
      <x:c r="B30" s="67" t="str">
        <x:v>02:59–03:05</x:v>
      </x:c>
      <x:c r="C30" s="67" t="str">
        <x:v>@TZG60</x:v>
      </x:c>
      <x:c r="D30" s="67" t="str">
        <x:v>@CST_TZG60_TAO_CLOAK</x:v>
      </x:c>
      <x:c r="E30" s="67" t="str">
        <x:v>@E07</x:v>
      </x:c>
      <x:c r="F30" s="67" t="str">
        <x:v>@G05</x:v>
      </x:c>
      <x:c r="G30" s="67" t="str">
        <x:v>@P04/@P15/@P20</x:v>
      </x:c>
      <x:c r="H30" s="67" t="str">
        <x:v>—</x:v>
      </x:c>
      <x:c r="I30" s="67" t="str">
        <x:v>让路与回头客</x:v>
      </x:c>
      <x:c r="J30" s="67" t="str">
        <x:v>45mm 慢拉远</x:v>
      </x:c>
      <x:c r="K30" s="67" t="str">
        <x:v>高</x:v>
      </x:c>
      <x:c r="L30" s="67" t="str">
        <x:v>冬季服装与上两镜连续</x:v>
      </x:c>
      <x:c r="M30" s="67" t="str">
        <x:v>人物半步让路并点头</x:v>
      </x:c>
      <x:c r="N30" s="67" t="str">
        <x:v>未开始</x:v>
      </x:c>
    </x:row>
    <x:row r="31" ht="42" customHeight="1">
      <x:c r="A31" s="67" t="str">
        <x:v>S06-01</x:v>
      </x:c>
      <x:c r="B31" s="67" t="str">
        <x:v>03:05–03:10</x:v>
      </x:c>
      <x:c r="C31" s="67" t="str">
        <x:v>@TZG60</x:v>
      </x:c>
      <x:c r="D31" s="67" t="str">
        <x:v>@CST_TZG60_TAO_BASE</x:v>
      </x:c>
      <x:c r="E31" s="67" t="str">
        <x:v>@E08</x:v>
      </x:c>
      <x:c r="F31" s="67" t="str">
        <x:v>—</x:v>
      </x:c>
      <x:c r="G31" s="67" t="str">
        <x:v>@P08B/@P15</x:v>
      </x:c>
      <x:c r="H31" s="67" t="str">
        <x:v>—</x:v>
      </x:c>
      <x:c r="I31" s="67" t="str">
        <x:v>仓的重量与秩序</x:v>
      </x:c>
      <x:c r="J31" s="67" t="str">
        <x:v>30mm 外景宽镜</x:v>
      </x:c>
      <x:c r="K31" s="67" t="str">
        <x:v>高</x:v>
      </x:c>
      <x:c r="L31" s="67" t="str">
        <x:v>身高比例、门损、服装一致</x:v>
      </x:c>
      <x:c r="M31" s="67" t="str">
        <x:v>只看门闩，工人就位</x:v>
      </x:c>
      <x:c r="N31" s="67" t="str">
        <x:v>未开始</x:v>
      </x:c>
    </x:row>
    <x:row r="32" ht="42" customHeight="1">
      <x:c r="A32" s="67" t="str">
        <x:v>S06-02</x:v>
      </x:c>
      <x:c r="B32" s="67" t="str">
        <x:v>03:10–03:16</x:v>
      </x:c>
      <x:c r="C32" s="67" t="str">
        <x:v>@TZG60</x:v>
      </x:c>
      <x:c r="D32" s="67" t="str">
        <x:v>@CST_TZG60_TAO_BASE</x:v>
      </x:c>
      <x:c r="E32" s="67" t="str">
        <x:v>@E08</x:v>
      </x:c>
      <x:c r="F32" s="67" t="str">
        <x:v>@G04</x:v>
      </x:c>
      <x:c r="G32" s="67" t="str">
        <x:v>@P08B</x:v>
      </x:c>
      <x:c r="H32" s="67" t="str">
        <x:v>@HND_TZG60_OPEN_GRANARY</x:v>
      </x:c>
      <x:c r="I32" s="67" t="str">
        <x:v>开仓高潮</x:v>
      </x:c>
      <x:c r="J32" s="67" t="str">
        <x:v>40mm 正面中远景</x:v>
      </x:c>
      <x:c r="K32" s="67" t="str">
        <x:v>极高</x:v>
      </x:c>
      <x:c r="L32" s="67" t="str">
        <x:v>双门向内、横闩和手正确</x:v>
      </x:c>
      <x:c r="M32" s="67" t="str">
        <x:v>抬闩/开门/让路三段</x:v>
      </x:c>
      <x:c r="N32" s="67" t="str">
        <x:v>未开始</x:v>
      </x:c>
    </x:row>
    <x:row r="33" ht="42" customHeight="1">
      <x:c r="A33" s="67" t="str">
        <x:v>S06-04</x:v>
      </x:c>
      <x:c r="B33" s="67" t="str">
        <x:v>03:22–03:28</x:v>
      </x:c>
      <x:c r="C33" s="67" t="str">
        <x:v>@TZG60</x:v>
      </x:c>
      <x:c r="D33" s="67" t="str">
        <x:v>@CST_TZG60_TAO_BASE</x:v>
      </x:c>
      <x:c r="E33" s="67" t="str">
        <x:v>@E08</x:v>
      </x:c>
      <x:c r="F33" s="67" t="str">
        <x:v>@G04</x:v>
      </x:c>
      <x:c r="G33" s="67" t="str">
        <x:v>@P07</x:v>
      </x:c>
      <x:c r="H33" s="67" t="str">
        <x:v>@HND_TZG60_STEADY_SACK</x:v>
      </x:c>
      <x:c r="I33" s="67" t="str">
        <x:v>财富重新流动</x:v>
      </x:c>
      <x:c r="J33" s="67" t="str">
        <x:v>50mm 接力中近景</x:v>
      </x:c>
      <x:c r="K33" s="67" t="str">
        <x:v>极高</x:v>
      </x:c>
      <x:c r="L33" s="67" t="str">
        <x:v>多人手、重量与人物身份</x:v>
      </x:c>
      <x:c r="M33" s="67" t="str">
        <x:v>两人近景分段接力</x:v>
      </x:c>
      <x:c r="N33" s="67" t="str">
        <x:v>未开始</x:v>
      </x:c>
    </x:row>
    <x:row r="34" ht="42" customHeight="1">
      <x:c r="A34" s="67" t="str">
        <x:v>S07-01</x:v>
      </x:c>
      <x:c r="B34" s="67" t="str">
        <x:v>03:40–03:45</x:v>
      </x:c>
      <x:c r="C34" s="67" t="str">
        <x:v>@STATUE</x:v>
      </x:c>
      <x:c r="D34" s="67" t="str">
        <x:v>@CST_STATUE_LATER_ROBE</x:v>
      </x:c>
      <x:c r="E34" s="67" t="str">
        <x:v>@E01</x:v>
      </x:c>
      <x:c r="F34" s="67" t="str">
        <x:v>@G06</x:v>
      </x:c>
      <x:c r="G34" s="67" t="str">
        <x:v>@P01/@P02/@P03</x:v>
      </x:c>
      <x:c r="H34" s="67" t="str">
        <x:v>@EXP_STATUE_CLOSED</x:v>
      </x:c>
      <x:c r="I34" s="67" t="str">
        <x:v>首尾闭环</x:v>
      </x:c>
      <x:c r="J34" s="67" t="str">
        <x:v>35mm 同轴中远景</x:v>
      </x:c>
      <x:c r="K34" s="67" t="str">
        <x:v>高</x:v>
      </x:c>
      <x:c r="L34" s="67" t="str">
        <x:v>神像彻底静止；首尾裂纹一致</x:v>
      </x:c>
      <x:c r="M34" s="67" t="str">
        <x:v>只动香客手、烟和灯</x:v>
      </x:c>
      <x:c r="N34" s="67" t="str">
        <x:v>未开始</x:v>
      </x:c>
    </x:row>
    <x:row r="35" ht="42" customHeight="1">
      <x:c r="A35" s="67" t="str">
        <x:v>S07-04</x:v>
      </x:c>
      <x:c r="B35" s="67" t="str">
        <x:v>03:55–04:00</x:v>
      </x:c>
      <x:c r="C35" s="67" t="str">
        <x:v>@STATUE</x:v>
      </x:c>
      <x:c r="D35" s="67" t="str">
        <x:v>@CST_STATUE_LATER_ROBE</x:v>
      </x:c>
      <x:c r="E35" s="67" t="str">
        <x:v>@E01</x:v>
      </x:c>
      <x:c r="F35" s="67" t="str">
        <x:v>—</x:v>
      </x:c>
      <x:c r="G35" s="67" t="str">
        <x:v>@P01/@P02/@P03</x:v>
      </x:c>
      <x:c r="H35" s="67" t="str">
        <x:v>@EXP_STATUE_CLOSED</x:v>
      </x:c>
      <x:c r="I35" s="67" t="str">
        <x:v>问题交还观众</x:v>
      </x:c>
      <x:c r="J35" s="67" t="str">
        <x:v>35mm 极慢拉到24mm感</x:v>
      </x:c>
      <x:c r="K35" s="67" t="str">
        <x:v>中</x:v>
      </x:c>
      <x:c r="L35" s="67" t="str">
        <x:v>神像不再表演</x:v>
      </x:c>
      <x:c r="M35" s="67" t="str">
        <x:v>完全静止并淡黑</x:v>
      </x:c>
      <x:c r="N35" s="67" t="str">
        <x:v>未开始</x:v>
      </x:c>
    </x:row>
  </x:sheetData>
  <x:mergeCells>
    <x:mergeCell ref="A1:N1"/>
    <x:mergeCell ref="A2:N2"/>
  </x:mergeCells>
  <x:conditionalFormatting sqref="K5:K35">
    <x:cfRule type="containsText" dxfId="45" priority="1" operator="containsText" text="极高"/>
    <x:cfRule type="containsText" dxfId="46" priority="2" operator="containsText" text="高"/>
    <x:cfRule type="containsText" dxfId="47" priority="3" operator="containsText" text="中"/>
    <x:cfRule type="containsText" dxfId="48" priority="4" operator="containsText" text="低"/>
  </x:conditionalFormatting>
  <x:conditionalFormatting sqref="N5:N35">
    <x:cfRule type="containsText" dxfId="49" priority="5" operator="containsText" text="已通过"/>
    <x:cfRule type="containsText" dxfId="50" priority="6" operator="containsText" text="进行中"/>
    <x:cfRule type="containsText" dxfId="51" priority="7" operator="containsText" text="阻塞"/>
    <x:cfRule type="containsText" dxfId="52" priority="8" operator="containsText" text="未开始"/>
    <x:cfRule type="containsText" dxfId="53" priority="9" operator="containsText" text="待检查"/>
  </x:conditionalFormatting>
  <x:dataValidations count="2">
    <x:dataValidation type="list" sqref="K5:K35">
      <x:formula1>"低,中,高,极高"</x:formula1>
    </x:dataValidation>
    <x:dataValidation type="list" sqref="N5:N35">
      <x:formula1>"未开始,进行中,待检查,已通过,阻塞"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f8b2a263a441c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13" hidden="0" customWidth="1"/>
    <x:col min="4" max="4" width="26" hidden="0" customWidth="1"/>
    <x:col min="5" max="5" width="45" hidden="0" customWidth="1"/>
    <x:col min="6" max="6" width="26" hidden="0" customWidth="1"/>
    <x:col min="7" max="7" width="11" hidden="0" customWidth="1"/>
    <x:col min="8" max="8" width="11" hidden="0" customWidth="1"/>
    <x:col min="9" max="9" width="28" hidden="0" customWidth="1"/>
    <x:col min="10" max="10" width="14" hidden="0" customWidth="1"/>
    <x:col min="11" max="11" width="14" hidden="0" customWidth="1"/>
    <x:col min="12" max="12" width="12" hidden="0" customWidth="1"/>
  </x:cols>
  <x:sheetData>
    <x:row r="1" ht="30" customHeight="1">
      <x:c r="A1" s="3" t="str">
        <x:v>06｜人物资产验收检查表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2" customHeight="1">
      <x:c r="A2" s="7" t="str">
        <x:v>任何 P0 阻断项未通过，人物闸门即为未通过；证据路径填写最终图、对比板或逐帧检查文件。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>
      <x:c r="A3" s="70"/>
      <x:c r="B3" s="70"/>
      <x:c r="C3" s="70"/>
      <x:c r="D3" s="70"/>
      <x:c r="E3" s="70"/>
      <x:c r="F3" s="70"/>
      <x:c r="G3" s="70"/>
      <x:c r="H3" s="70"/>
      <x:c r="I3" s="70"/>
      <x:c r="J3" s="70"/>
      <x:c r="K3" s="70"/>
      <x:c r="L3" s="70"/>
    </x:row>
    <x:row r="4" ht="34" customHeight="1">
      <x:c r="A4" s="58" t="str">
        <x:v>Check ID</x:v>
      </x:c>
      <x:c r="B4" s="59" t="str">
        <x:v>范围</x:v>
      </x:c>
      <x:c r="C4" s="59" t="str">
        <x:v>类别</x:v>
      </x:c>
      <x:c r="D4" s="59" t="str">
        <x:v>检查项</x:v>
      </x:c>
      <x:c r="E4" s="59" t="str">
        <x:v>通过标准</x:v>
      </x:c>
      <x:c r="F4" s="59" t="str">
        <x:v>检查方法</x:v>
      </x:c>
      <x:c r="G4" s="59" t="str">
        <x:v>阻断项</x:v>
      </x:c>
      <x:c r="H4" s="59" t="str">
        <x:v>严重度</x:v>
      </x:c>
      <x:c r="I4" s="59" t="str">
        <x:v>证据路径</x:v>
      </x:c>
      <x:c r="J4" s="59" t="str">
        <x:v>审核人</x:v>
      </x:c>
      <x:c r="K4" s="59" t="str">
        <x:v>审核日期</x:v>
      </x:c>
      <x:c r="L4" s="60" t="str">
        <x:v>状态</x:v>
      </x:c>
    </x:row>
    <x:row r="5" ht="42" customHeight="1">
      <x:c r="A5" s="66" t="str">
        <x:v>ID-01</x:v>
      </x:c>
      <x:c r="B5" s="66" t="str">
        <x:v>@FL35/@FL45/@TZG60</x:v>
      </x:c>
      <x:c r="C5" s="66" t="str">
        <x:v>骨相</x:v>
      </x:c>
      <x:c r="D5" s="66" t="str">
        <x:v>长椭圆脸</x:v>
      </x:c>
      <x:c r="E5" s="66" t="str">
        <x:v>三个年龄头骨轮廓一致，仅有软组织老化</x:v>
      </x:c>
      <x:c r="F5" s="66" t="str">
        <x:v>三龄同框+轮廓叠加</x:v>
      </x:c>
      <x:c r="G5" s="66" t="str">
        <x:v>是</x:v>
      </x:c>
      <x:c r="H5" s="66" t="str">
        <x:v>P0</x:v>
      </x:c>
      <x:c r="I5" s="66" t="str"/>
      <x:c r="J5" s="66" t="str"/>
      <x:c r="K5" s="66" t="str"/>
      <x:c r="L5" s="66" t="str">
        <x:v>待检查</x:v>
      </x:c>
    </x:row>
    <x:row r="6" ht="42" customHeight="1">
      <x:c r="A6" s="67" t="str">
        <x:v>ID-02</x:v>
      </x:c>
      <x:c r="B6" s="67" t="str">
        <x:v>全龄</x:v>
      </x:c>
      <x:c r="C6" s="67" t="str">
        <x:v>骨相</x:v>
      </x:c>
      <x:c r="D6" s="67" t="str">
        <x:v>左眉尾断点</x:v>
      </x:c>
      <x:c r="E6" s="67" t="str">
        <x:v>人物自身左眉尾均保留；镜像候选剔除</x:v>
      </x:c>
      <x:c r="F6" s="67" t="str">
        <x:v>正脸/45°对照</x:v>
      </x:c>
      <x:c r="G6" s="67" t="str">
        <x:v>是</x:v>
      </x:c>
      <x:c r="H6" s="67" t="str">
        <x:v>P0</x:v>
      </x:c>
      <x:c r="I6" s="67" t="str"/>
      <x:c r="J6" s="67" t="str"/>
      <x:c r="K6" s="67" t="str"/>
      <x:c r="L6" s="67" t="str">
        <x:v>待检查</x:v>
      </x:c>
    </x:row>
    <x:row r="7" ht="42" customHeight="1">
      <x:c r="A7" s="67" t="str">
        <x:v>ID-03</x:v>
      </x:c>
      <x:c r="B7" s="67" t="str">
        <x:v>全龄</x:v>
      </x:c>
      <x:c r="C7" s="67" t="str">
        <x:v>骨相</x:v>
      </x:c>
      <x:c r="D7" s="67" t="str">
        <x:v>眼距与杏眼</x:v>
      </x:c>
      <x:c r="E7" s="67" t="str">
        <x:v>眼距稳定，眼型不因年龄或光线重设计</x:v>
      </x:c>
      <x:c r="F7" s="67" t="str">
        <x:v>五官标志线</x:v>
      </x:c>
      <x:c r="G7" s="67" t="str">
        <x:v>是</x:v>
      </x:c>
      <x:c r="H7" s="67" t="str">
        <x:v>P0</x:v>
      </x:c>
      <x:c r="I7" s="67" t="str"/>
      <x:c r="J7" s="67" t="str"/>
      <x:c r="K7" s="67" t="str"/>
      <x:c r="L7" s="67" t="str">
        <x:v>待检查</x:v>
      </x:c>
    </x:row>
    <x:row r="8" ht="42" customHeight="1">
      <x:c r="A8" s="67" t="str">
        <x:v>ID-04</x:v>
      </x:c>
      <x:c r="B8" s="67" t="str">
        <x:v>全龄</x:v>
      </x:c>
      <x:c r="C8" s="67" t="str">
        <x:v>骨相</x:v>
      </x:c>
      <x:c r="D8" s="67" t="str">
        <x:v>鼻尖</x:v>
      </x:c>
      <x:c r="E8" s="67" t="str">
        <x:v>直鼻梁、圆钝鼻尖稳定</x:v>
      </x:c>
      <x:c r="F8" s="67" t="str">
        <x:v>侧面/三分面比对</x:v>
      </x:c>
      <x:c r="G8" s="67" t="str">
        <x:v>是</x:v>
      </x:c>
      <x:c r="H8" s="67" t="str">
        <x:v>P0</x:v>
      </x:c>
      <x:c r="I8" s="67" t="str"/>
      <x:c r="J8" s="67" t="str"/>
      <x:c r="K8" s="67" t="str"/>
      <x:c r="L8" s="67" t="str">
        <x:v>待检查</x:v>
      </x:c>
    </x:row>
    <x:row r="9" ht="42" customHeight="1">
      <x:c r="A9" s="67" t="str">
        <x:v>ID-05</x:v>
      </x:c>
      <x:c r="B9" s="67" t="str">
        <x:v>全龄</x:v>
      </x:c>
      <x:c r="C9" s="67" t="str">
        <x:v>骨相</x:v>
      </x:c>
      <x:c r="D9" s="67" t="str">
        <x:v>薄唇与窄下颌</x:v>
      </x:c>
      <x:c r="E9" s="67" t="str">
        <x:v>唇厚和下颌宽度不漂移</x:v>
      </x:c>
      <x:c r="F9" s="67" t="str">
        <x:v>正面/侧面比对</x:v>
      </x:c>
      <x:c r="G9" s="67" t="str">
        <x:v>是</x:v>
      </x:c>
      <x:c r="H9" s="67" t="str">
        <x:v>P0</x:v>
      </x:c>
      <x:c r="I9" s="67" t="str"/>
      <x:c r="J9" s="67" t="str"/>
      <x:c r="K9" s="67" t="str"/>
      <x:c r="L9" s="67" t="str">
        <x:v>待检查</x:v>
      </x:c>
    </x:row>
    <x:row r="10" ht="42" customHeight="1">
      <x:c r="A10" s="67" t="str">
        <x:v>ID-06</x:v>
      </x:c>
      <x:c r="B10" s="67" t="str">
        <x:v>@FL35/@FL45/@TZG60</x:v>
      </x:c>
      <x:c r="C10" s="67" t="str">
        <x:v>比例</x:v>
      </x:c>
      <x:c r="D10" s="67" t="str">
        <x:v>身高与体态</x:v>
      </x:c>
      <x:c r="E10" s="67" t="str">
        <x:v>178→约177→176cm，均清瘦、背直、非武将健硕</x:v>
      </x:c>
      <x:c r="F10" s="67" t="str">
        <x:v>全身同尺度板</x:v>
      </x:c>
      <x:c r="G10" s="67" t="str">
        <x:v>是</x:v>
      </x:c>
      <x:c r="H10" s="67" t="str">
        <x:v>P1</x:v>
      </x:c>
      <x:c r="I10" s="67" t="str"/>
      <x:c r="J10" s="67" t="str"/>
      <x:c r="K10" s="67" t="str"/>
      <x:c r="L10" s="67" t="str">
        <x:v>待检查</x:v>
      </x:c>
    </x:row>
    <x:row r="11" ht="42" customHeight="1">
      <x:c r="A11" s="67" t="str">
        <x:v>AGE-01</x:v>
      </x:c>
      <x:c r="B11" s="67" t="str">
        <x:v>@FL45</x:v>
      </x:c>
      <x:c r="C11" s="67" t="str">
        <x:v>老化</x:v>
      </x:c>
      <x:c r="D11" s="67" t="str">
        <x:v>45岁递进</x:v>
      </x:c>
      <x:c r="E11" s="67" t="str">
        <x:v>只增加轻鼻唇沟、眼下纹、少量鬓灰与短须</x:v>
      </x:c>
      <x:c r="F11" s="67" t="str">
        <x:v>与 @FL35 对照</x:v>
      </x:c>
      <x:c r="G11" s="67" t="str">
        <x:v>是</x:v>
      </x:c>
      <x:c r="H11" s="67" t="str">
        <x:v>P0</x:v>
      </x:c>
      <x:c r="I11" s="67" t="str"/>
      <x:c r="J11" s="67" t="str"/>
      <x:c r="K11" s="67" t="str"/>
      <x:c r="L11" s="67" t="str">
        <x:v>待检查</x:v>
      </x:c>
    </x:row>
    <x:row r="12" ht="42" customHeight="1">
      <x:c r="A12" s="67" t="str">
        <x:v>AGE-02</x:v>
      </x:c>
      <x:c r="B12" s="67" t="str">
        <x:v>@TZG60</x:v>
      </x:c>
      <x:c r="C12" s="67" t="str">
        <x:v>老化</x:v>
      </x:c>
      <x:c r="D12" s="67" t="str">
        <x:v>60岁递进</x:v>
      </x:c>
      <x:c r="E12" s="67" t="str">
        <x:v>面颊略凹、自然额纹/眼角纹、银白鬓角；不仙人化</x:v>
      </x:c>
      <x:c r="F12" s="67" t="str">
        <x:v>与 @FL45 对照</x:v>
      </x:c>
      <x:c r="G12" s="67" t="str">
        <x:v>是</x:v>
      </x:c>
      <x:c r="H12" s="67" t="str">
        <x:v>P0</x:v>
      </x:c>
      <x:c r="I12" s="67" t="str"/>
      <x:c r="J12" s="67" t="str"/>
      <x:c r="K12" s="67" t="str"/>
      <x:c r="L12" s="67" t="str">
        <x:v>待检查</x:v>
      </x:c>
    </x:row>
    <x:row r="13" ht="42" customHeight="1">
      <x:c r="A13" s="67" t="str">
        <x:v>AGE-03</x:v>
      </x:c>
      <x:c r="B13" s="67" t="str">
        <x:v>三龄</x:v>
      </x:c>
      <x:c r="C13" s="67" t="str">
        <x:v>老化</x:v>
      </x:c>
      <x:c r="D13" s="67" t="str">
        <x:v>真实梯度</x:v>
      </x:c>
      <x:c r="E13" s="67" t="str">
        <x:v>一眼看出同一人真实变老，而非三张相似陌生脸</x:v>
      </x:c>
      <x:c r="F13" s="67" t="str">
        <x:v>三龄同框盲测</x:v>
      </x:c>
      <x:c r="G13" s="67" t="str">
        <x:v>是</x:v>
      </x:c>
      <x:c r="H13" s="67" t="str">
        <x:v>P0</x:v>
      </x:c>
      <x:c r="I13" s="67" t="str"/>
      <x:c r="J13" s="67" t="str"/>
      <x:c r="K13" s="67" t="str"/>
      <x:c r="L13" s="67" t="str">
        <x:v>待检查</x:v>
      </x:c>
    </x:row>
    <x:row r="14" ht="42" customHeight="1">
      <x:c r="A14" s="67" t="str">
        <x:v>HAIR-01</x:v>
      </x:c>
      <x:c r="B14" s="67" t="str">
        <x:v>@FL35</x:v>
      </x:c>
      <x:c r="C14" s="67" t="str">
        <x:v>发须</x:v>
      </x:c>
      <x:c r="D14" s="67" t="str">
        <x:v>高髻/木簪</x:v>
      </x:c>
      <x:c r="E14" s="67" t="str">
        <x:v>黑发高髻，深褐木簪固定</x:v>
      </x:c>
      <x:c r="F14" s="67" t="str">
        <x:v>转面与背面</x:v>
      </x:c>
      <x:c r="G14" s="67" t="str">
        <x:v>是</x:v>
      </x:c>
      <x:c r="H14" s="67" t="str">
        <x:v>P1</x:v>
      </x:c>
      <x:c r="I14" s="67" t="str"/>
      <x:c r="J14" s="67" t="str"/>
      <x:c r="K14" s="67" t="str"/>
      <x:c r="L14" s="67" t="str">
        <x:v>待检查</x:v>
      </x:c>
    </x:row>
    <x:row r="15" ht="42" customHeight="1">
      <x:c r="A15" s="67" t="str">
        <x:v>HAIR-02</x:v>
      </x:c>
      <x:c r="B15" s="67" t="str">
        <x:v>@FL45</x:v>
      </x:c>
      <x:c r="C15" s="67" t="str">
        <x:v>发须</x:v>
      </x:c>
      <x:c r="D15" s="67" t="str">
        <x:v>低髻/短须</x:v>
      </x:c>
      <x:c r="E15" s="67" t="str">
        <x:v>同一木簪；更低发髻；短须不过胸</x:v>
      </x:c>
      <x:c r="F15" s="67" t="str">
        <x:v>转面与全身</x:v>
      </x:c>
      <x:c r="G15" s="67" t="str">
        <x:v>是</x:v>
      </x:c>
      <x:c r="H15" s="67" t="str">
        <x:v>P1</x:v>
      </x:c>
      <x:c r="I15" s="67" t="str"/>
      <x:c r="J15" s="67" t="str"/>
      <x:c r="K15" s="67" t="str"/>
      <x:c r="L15" s="67" t="str">
        <x:v>待检查</x:v>
      </x:c>
    </x:row>
    <x:row r="16" ht="42" customHeight="1">
      <x:c r="A16" s="67" t="str">
        <x:v>HAIR-03</x:v>
      </x:c>
      <x:c r="B16" s="67" t="str">
        <x:v>@TZG60</x:v>
      </x:c>
      <x:c r="C16" s="67" t="str">
        <x:v>发须</x:v>
      </x:c>
      <x:c r="D16" s="67" t="str">
        <x:v>黑灰低髻/胡须</x:v>
      </x:c>
      <x:c r="E16" s="67" t="str">
        <x:v>银白鬓角；胡须不越锁骨上方；无白眉</x:v>
      </x:c>
      <x:c r="F16" s="67" t="str">
        <x:v>转面与全身</x:v>
      </x:c>
      <x:c r="G16" s="67" t="str">
        <x:v>是</x:v>
      </x:c>
      <x:c r="H16" s="67" t="str">
        <x:v>P0</x:v>
      </x:c>
      <x:c r="I16" s="67" t="str"/>
      <x:c r="J16" s="67" t="str"/>
      <x:c r="K16" s="67" t="str"/>
      <x:c r="L16" s="67" t="str">
        <x:v>待检查</x:v>
      </x:c>
    </x:row>
    <x:row r="17" ht="42" customHeight="1">
      <x:c r="A17" s="67" t="str">
        <x:v>CST-01</x:v>
      </x:c>
      <x:c r="B17" s="67" t="str">
        <x:v>历史人物</x:v>
      </x:c>
      <x:c r="C17" s="67" t="str">
        <x:v>服装</x:v>
      </x:c>
      <x:c r="D17" s="67" t="str">
        <x:v>交领右衽</x:v>
      </x:c>
      <x:c r="E17" s="67" t="str">
        <x:v>所有历史服装方向正确，反打不自动镜像</x:v>
      </x:c>
      <x:c r="F17" s="67" t="str">
        <x:v>正背侧检查</x:v>
      </x:c>
      <x:c r="G17" s="67" t="str">
        <x:v>是</x:v>
      </x:c>
      <x:c r="H17" s="67" t="str">
        <x:v>P0</x:v>
      </x:c>
      <x:c r="I17" s="67" t="str"/>
      <x:c r="J17" s="67" t="str"/>
      <x:c r="K17" s="67" t="str"/>
      <x:c r="L17" s="67" t="str">
        <x:v>待检查</x:v>
      </x:c>
    </x:row>
    <x:row r="18" ht="42" customHeight="1">
      <x:c r="A18" s="67" t="str">
        <x:v>CST-02</x:v>
      </x:c>
      <x:c r="B18" s="67" t="str">
        <x:v>@FL45</x:v>
      </x:c>
      <x:c r="C18" s="67" t="str">
        <x:v>服装</x:v>
      </x:c>
      <x:c r="D18" s="67" t="str">
        <x:v>三态分离</x:v>
      </x:c>
      <x:c r="E18" s="67" t="str">
        <x:v>离越/齐地劳作/会使者三态不串衣</x:v>
      </x:c>
      <x:c r="F18" s="67" t="str">
        <x:v>按 Costume State ID 检查</x:v>
      </x:c>
      <x:c r="G18" s="67" t="str">
        <x:v>是</x:v>
      </x:c>
      <x:c r="H18" s="67" t="str">
        <x:v>P0</x:v>
      </x:c>
      <x:c r="I18" s="67" t="str"/>
      <x:c r="J18" s="67" t="str"/>
      <x:c r="K18" s="67" t="str"/>
      <x:c r="L18" s="67" t="str">
        <x:v>待检查</x:v>
      </x:c>
    </x:row>
    <x:row r="19" ht="42" customHeight="1">
      <x:c r="A19" s="67" t="str">
        <x:v>CST-03</x:v>
      </x:c>
      <x:c r="B19" s="67" t="str">
        <x:v>@TZG60</x:v>
      </x:c>
      <x:c r="C19" s="67" t="str">
        <x:v>服装</x:v>
      </x:c>
      <x:c r="D19" s="67" t="str">
        <x:v>季节连续</x:v>
      </x:c>
      <x:c r="E19" s="67" t="str">
        <x:v>夏季轻装须经确认；冬季三镜斗篷连续</x:v>
      </x:c>
      <x:c r="F19" s="67" t="str">
        <x:v>镜头覆盖表核对</x:v>
      </x:c>
      <x:c r="G19" s="67" t="str">
        <x:v>是</x:v>
      </x:c>
      <x:c r="H19" s="67" t="str">
        <x:v>P1</x:v>
      </x:c>
      <x:c r="I19" s="67" t="str"/>
      <x:c r="J19" s="67" t="str"/>
      <x:c r="K19" s="67" t="str"/>
      <x:c r="L19" s="67" t="str">
        <x:v>待检查</x:v>
      </x:c>
    </x:row>
    <x:row r="20" ht="42" customHeight="1">
      <x:c r="A20" s="67" t="str">
        <x:v>CST-04</x:v>
      </x:c>
      <x:c r="B20" s="67" t="str">
        <x:v>全部</x:v>
      </x:c>
      <x:c r="C20" s="67" t="str">
        <x:v>服装</x:v>
      </x:c>
      <x:c r="D20" s="67" t="str">
        <x:v>材质与低饱和色</x:v>
      </x:c>
      <x:c r="E20" s="67" t="str">
        <x:v>麻/苎麻/少量丝织可区分；无塑料光和亮缎</x:v>
      </x:c>
      <x:c r="F20" s="67" t="str">
        <x:v>材质微距</x:v>
      </x:c>
      <x:c r="G20" s="67" t="str">
        <x:v>是</x:v>
      </x:c>
      <x:c r="H20" s="67" t="str">
        <x:v>P1</x:v>
      </x:c>
      <x:c r="I20" s="67" t="str"/>
      <x:c r="J20" s="67" t="str"/>
      <x:c r="K20" s="67" t="str"/>
      <x:c r="L20" s="67" t="str">
        <x:v>待检查</x:v>
      </x:c>
    </x:row>
    <x:row r="21" ht="42" customHeight="1">
      <x:c r="A21" s="67" t="str">
        <x:v>CST-05</x:v>
      </x:c>
      <x:c r="B21" s="67" t="str">
        <x:v>@STATUE</x:v>
      </x:c>
      <x:c r="C21" s="67" t="str">
        <x:v>服装</x:v>
      </x:c>
      <x:c r="D21" s="67" t="str">
        <x:v>雕塑衣纹</x:v>
      </x:c>
      <x:c r="E21" s="67" t="str">
        <x:v>神袍为雕塑涂层，不出现真人布料感</x:v>
      </x:c>
      <x:c r="F21" s="67" t="str">
        <x:v>材质近景</x:v>
      </x:c>
      <x:c r="G21" s="67" t="str">
        <x:v>是</x:v>
      </x:c>
      <x:c r="H21" s="67" t="str">
        <x:v>P0</x:v>
      </x:c>
      <x:c r="I21" s="67" t="str"/>
      <x:c r="J21" s="67" t="str"/>
      <x:c r="K21" s="67" t="str"/>
      <x:c r="L21" s="67" t="str">
        <x:v>待检查</x:v>
      </x:c>
    </x:row>
    <x:row r="22" ht="42" customHeight="1">
      <x:c r="A22" s="67" t="str">
        <x:v>HND-01</x:v>
      </x:c>
      <x:c r="B22" s="67" t="str">
        <x:v>全部</x:v>
      </x:c>
      <x:c r="C22" s="67" t="str">
        <x:v>手部</x:v>
      </x:c>
      <x:c r="D22" s="67" t="str">
        <x:v>指头与关节</x:v>
      </x:c>
      <x:c r="E22" s="67" t="str">
        <x:v>五指数量、关节、指甲和掌心方向自然</x:v>
      </x:c>
      <x:c r="F22" s="67" t="str">
        <x:v>100%放大检查</x:v>
      </x:c>
      <x:c r="G22" s="67" t="str">
        <x:v>是</x:v>
      </x:c>
      <x:c r="H22" s="67" t="str">
        <x:v>P0</x:v>
      </x:c>
      <x:c r="I22" s="67" t="str"/>
      <x:c r="J22" s="67" t="str"/>
      <x:c r="K22" s="67" t="str"/>
      <x:c r="L22" s="67" t="str">
        <x:v>待检查</x:v>
      </x:c>
    </x:row>
    <x:row r="23" ht="42" customHeight="1">
      <x:c r="A23" s="67" t="str">
        <x:v>HND-02</x:v>
      </x:c>
      <x:c r="B23" s="67" t="str">
        <x:v>@FL35</x:v>
      </x:c>
      <x:c r="C23" s="67" t="str">
        <x:v>手部</x:v>
      </x:c>
      <x:c r="D23" s="67" t="str">
        <x:v>触简不翻</x:v>
      </x:c>
      <x:c r="E23" s="67" t="str">
        <x:v>食指在竹简边缘停止；竹简不自行翻动</x:v>
      </x:c>
      <x:c r="F23" s="67" t="str">
        <x:v>起止帧对比</x:v>
      </x:c>
      <x:c r="G23" s="67" t="str">
        <x:v>是</x:v>
      </x:c>
      <x:c r="H23" s="67" t="str">
        <x:v>P0</x:v>
      </x:c>
      <x:c r="I23" s="67" t="str"/>
      <x:c r="J23" s="67" t="str"/>
      <x:c r="K23" s="67" t="str"/>
      <x:c r="L23" s="67" t="str">
        <x:v>待检查</x:v>
      </x:c>
    </x:row>
    <x:row r="24" ht="42" customHeight="1">
      <x:c r="A24" s="67" t="str">
        <x:v>HND-03</x:v>
      </x:c>
      <x:c r="B24" s="67" t="str">
        <x:v>@FL45</x:v>
      </x:c>
      <x:c r="C24" s="67" t="str">
        <x:v>手部</x:v>
      </x:c>
      <x:c r="D24" s="67" t="str">
        <x:v>解绳</x:v>
      </x:c>
      <x:c r="E24" s="67" t="str">
        <x:v>正确绳结、绳不穿掌、不消失</x:v>
      </x:c>
      <x:c r="F24" s="67" t="str">
        <x:v>静帧+逐帧</x:v>
      </x:c>
      <x:c r="G24" s="67" t="str">
        <x:v>是</x:v>
      </x:c>
      <x:c r="H24" s="67" t="str">
        <x:v>P0</x:v>
      </x:c>
      <x:c r="I24" s="67" t="str"/>
      <x:c r="J24" s="67" t="str"/>
      <x:c r="K24" s="67" t="str"/>
      <x:c r="L24" s="67" t="str">
        <x:v>待检查</x:v>
      </x:c>
    </x:row>
    <x:row r="25" ht="42" customHeight="1">
      <x:c r="A25" s="67" t="str">
        <x:v>HND-04</x:v>
      </x:c>
      <x:c r="B25" s="67" t="str">
        <x:v>@FL45</x:v>
      </x:c>
      <x:c r="C25" s="67" t="str">
        <x:v>手部</x:v>
      </x:c>
      <x:c r="D25" s="67" t="str">
        <x:v>印信两指距离</x:v>
      </x:c>
      <x:c r="E25" s="67" t="str">
        <x:v>手与小印比例正确，停止距离可见</x:v>
      </x:c>
      <x:c r="F25" s="67" t="str">
        <x:v>手道具比例板</x:v>
      </x:c>
      <x:c r="G25" s="67" t="str">
        <x:v>是</x:v>
      </x:c>
      <x:c r="H25" s="67" t="str">
        <x:v>P0</x:v>
      </x:c>
      <x:c r="I25" s="67" t="str"/>
      <x:c r="J25" s="67" t="str"/>
      <x:c r="K25" s="67" t="str"/>
      <x:c r="L25" s="67" t="str">
        <x:v>待检查</x:v>
      </x:c>
    </x:row>
    <x:row r="26" ht="42" customHeight="1">
      <x:c r="A26" s="67" t="str">
        <x:v>HND-05</x:v>
      </x:c>
      <x:c r="B26" s="67" t="str">
        <x:v>@FL45/@G03</x:v>
      </x:c>
      <x:c r="C26" s="67" t="str">
        <x:v>手部</x:v>
      </x:c>
      <x:c r="D26" s="67" t="str">
        <x:v>双手归还</x:v>
      </x:c>
      <x:c r="E26" s="67" t="str">
        <x:v>双方四只手不粘连，匣有重量</x:v>
      </x:c>
      <x:c r="F26" s="67" t="str">
        <x:v>拆镜逐帧</x:v>
      </x:c>
      <x:c r="G26" s="67" t="str">
        <x:v>是</x:v>
      </x:c>
      <x:c r="H26" s="67" t="str">
        <x:v>P0</x:v>
      </x:c>
      <x:c r="I26" s="67" t="str"/>
      <x:c r="J26" s="67" t="str"/>
      <x:c r="K26" s="67" t="str"/>
      <x:c r="L26" s="67" t="str">
        <x:v>待检查</x:v>
      </x:c>
    </x:row>
    <x:row r="27" ht="42" customHeight="1">
      <x:c r="A27" s="67" t="str">
        <x:v>HND-06</x:v>
      </x:c>
      <x:c r="B27" s="67" t="str">
        <x:v>@TZG60</x:v>
      </x:c>
      <x:c r="C27" s="67" t="str">
        <x:v>手部</x:v>
      </x:c>
      <x:c r="D27" s="67" t="str">
        <x:v>三粒谷</x:v>
      </x:c>
      <x:c r="E27" s="67" t="str">
        <x:v>恰好三粒，能清晰计数；右食指粗茧可见</x:v>
      </x:c>
      <x:c r="F27" s="67" t="str">
        <x:v>微距静帧</x:v>
      </x:c>
      <x:c r="G27" s="67" t="str">
        <x:v>是</x:v>
      </x:c>
      <x:c r="H27" s="67" t="str">
        <x:v>P0</x:v>
      </x:c>
      <x:c r="I27" s="67" t="str"/>
      <x:c r="J27" s="67" t="str"/>
      <x:c r="K27" s="67" t="str"/>
      <x:c r="L27" s="67" t="str">
        <x:v>待检查</x:v>
      </x:c>
    </x:row>
    <x:row r="28" ht="42" customHeight="1">
      <x:c r="A28" s="67" t="str">
        <x:v>HND-07</x:v>
      </x:c>
      <x:c r="B28" s="67" t="str">
        <x:v>@TZG60</x:v>
      </x:c>
      <x:c r="C28" s="67" t="str">
        <x:v>手部</x:v>
      </x:c>
      <x:c r="D28" s="67" t="str">
        <x:v>衡器</x:v>
      </x:c>
      <x:c r="E28" s="67" t="str">
        <x:v>双手离秤盘；秤盘三次内停平</x:v>
      </x:c>
      <x:c r="F28" s="67" t="str">
        <x:v>静帧+运动曲线</x:v>
      </x:c>
      <x:c r="G28" s="67" t="str">
        <x:v>是</x:v>
      </x:c>
      <x:c r="H28" s="67" t="str">
        <x:v>P0</x:v>
      </x:c>
      <x:c r="I28" s="67" t="str"/>
      <x:c r="J28" s="67" t="str"/>
      <x:c r="K28" s="67" t="str"/>
      <x:c r="L28" s="67" t="str">
        <x:v>待检查</x:v>
      </x:c>
    </x:row>
    <x:row r="29" ht="42" customHeight="1">
      <x:c r="A29" s="67" t="str">
        <x:v>HND-08</x:v>
      </x:c>
      <x:c r="B29" s="67" t="str">
        <x:v>@TZG60</x:v>
      </x:c>
      <x:c r="C29" s="67" t="str">
        <x:v>手部</x:v>
      </x:c>
      <x:c r="D29" s="67" t="str">
        <x:v>开仓/重袋</x:v>
      </x:c>
      <x:c r="E29" s="67" t="str">
        <x:v>门向内开；接力有肩膝下沉与真实重量</x:v>
      </x:c>
      <x:c r="F29" s="67" t="str">
        <x:v>分段逐帧</x:v>
      </x:c>
      <x:c r="G29" s="67" t="str">
        <x:v>是</x:v>
      </x:c>
      <x:c r="H29" s="67" t="str">
        <x:v>P0</x:v>
      </x:c>
      <x:c r="I29" s="67" t="str"/>
      <x:c r="J29" s="67" t="str"/>
      <x:c r="K29" s="67" t="str"/>
      <x:c r="L29" s="67" t="str">
        <x:v>待检查</x:v>
      </x:c>
    </x:row>
    <x:row r="30" ht="42" customHeight="1">
      <x:c r="A30" s="67" t="str">
        <x:v>ST-01</x:v>
      </x:c>
      <x:c r="B30" s="67" t="str">
        <x:v>@STATUE</x:v>
      </x:c>
      <x:c r="C30" s="67" t="str">
        <x:v>神像</x:v>
      </x:c>
      <x:c r="D30" s="67" t="str">
        <x:v>非真人皮肤</x:v>
      </x:c>
      <x:c r="E30" s="67" t="str">
        <x:v>一眼看出彩绘木/泥塑雕像</x:v>
      </x:c>
      <x:c r="F30" s="67" t="str">
        <x:v>材质盲测</x:v>
      </x:c>
      <x:c r="G30" s="67" t="str">
        <x:v>是</x:v>
      </x:c>
      <x:c r="H30" s="67" t="str">
        <x:v>P0</x:v>
      </x:c>
      <x:c r="I30" s="67" t="str"/>
      <x:c r="J30" s="67" t="str"/>
      <x:c r="K30" s="67" t="str"/>
      <x:c r="L30" s="67" t="str">
        <x:v>待检查</x:v>
      </x:c>
    </x:row>
    <x:row r="31" ht="42" customHeight="1">
      <x:c r="A31" s="67" t="str">
        <x:v>ST-02</x:v>
      </x:c>
      <x:c r="B31" s="67" t="str">
        <x:v>@STATUE</x:v>
      </x:c>
      <x:c r="C31" s="67" t="str">
        <x:v>神像</x:v>
      </x:c>
      <x:c r="D31" s="67" t="str">
        <x:v>权威造型来源</x:v>
      </x:c>
      <x:c r="E31" s="67" t="str">
        <x:v>脸、红色高冠、金色横展冠翅、平直黑眉、细长眼和长黑须与“财神正面.png”一致</x:v>
      </x:c>
      <x:c r="F31" s="67" t="str">
        <x:v>权威图叠加对照</x:v>
      </x:c>
      <x:c r="G31" s="67" t="str">
        <x:v>是</x:v>
      </x:c>
      <x:c r="H31" s="67" t="str">
        <x:v>P0</x:v>
      </x:c>
      <x:c r="I31" s="67" t="str"/>
      <x:c r="J31" s="67" t="str"/>
      <x:c r="K31" s="67" t="str"/>
      <x:c r="L31" s="67" t="str">
        <x:v>待检查</x:v>
      </x:c>
    </x:row>
    <x:row r="32" ht="42" customHeight="1">
      <x:c r="A32" s="67" t="str">
        <x:v>ST-03</x:v>
      </x:c>
      <x:c r="B32" s="67" t="str">
        <x:v>@STATUE</x:v>
      </x:c>
      <x:c r="C32" s="67" t="str">
        <x:v>神像</x:v>
      </x:c>
      <x:c r="D32" s="67" t="str">
        <x:v>裂纹/掉漆地图</x:v>
      </x:c>
      <x:c r="E32" s="67" t="str">
        <x:v>首尾与闭/开眼状态位置完全固定</x:v>
      </x:c>
      <x:c r="F32" s="67" t="str">
        <x:v>纹理叠加</x:v>
      </x:c>
      <x:c r="G32" s="67" t="str">
        <x:v>是</x:v>
      </x:c>
      <x:c r="H32" s="67" t="str">
        <x:v>P0</x:v>
      </x:c>
      <x:c r="I32" s="67" t="str"/>
      <x:c r="J32" s="67" t="str"/>
      <x:c r="K32" s="67" t="str"/>
      <x:c r="L32" s="67" t="str">
        <x:v>待检查</x:v>
      </x:c>
    </x:row>
    <x:row r="33" ht="42" customHeight="1">
      <x:c r="A33" s="67" t="str">
        <x:v>ST-04</x:v>
      </x:c>
      <x:c r="B33" s="67" t="str">
        <x:v>@STATUE</x:v>
      </x:c>
      <x:c r="C33" s="67" t="str">
        <x:v>神像</x:v>
      </x:c>
      <x:c r="D33" s="67" t="str">
        <x:v>眼球与睁眼</x:v>
      </x:c>
      <x:c r="E33" s="67" t="str">
        <x:v>眼球不发光、60%开度；脸和表面层不液化；宝珠发光单独裁决</x:v>
      </x:c>
      <x:c r="F33" s="67" t="str">
        <x:v>三状态对照</x:v>
      </x:c>
      <x:c r="G33" s="67" t="str">
        <x:v>是</x:v>
      </x:c>
      <x:c r="H33" s="67" t="str">
        <x:v>P0</x:v>
      </x:c>
      <x:c r="I33" s="67" t="str"/>
      <x:c r="J33" s="67" t="str"/>
      <x:c r="K33" s="67" t="str"/>
      <x:c r="L33" s="67" t="str">
        <x:v>待检查</x:v>
      </x:c>
    </x:row>
    <x:row r="34" ht="42" customHeight="1">
      <x:c r="A34" s="67" t="str">
        <x:v>ST-05</x:v>
      </x:c>
      <x:c r="B34" s="67" t="str">
        <x:v>@STATUE</x:v>
      </x:c>
      <x:c r="C34" s="67" t="str">
        <x:v>神像</x:v>
      </x:c>
      <x:c r="D34" s="67" t="str">
        <x:v>双手物件</x:v>
      </x:c>
      <x:c r="E34" s="67" t="str">
        <x:v>人物自身右手（画面左）托亮蓝宝珠；自身左手（画面右）持金色礼仪物</x:v>
      </x:c>
      <x:c r="F34" s="67" t="str">
        <x:v>正面全身叠加</x:v>
      </x:c>
      <x:c r="G34" s="67" t="str">
        <x:v>是</x:v>
      </x:c>
      <x:c r="H34" s="67" t="str">
        <x:v>P0</x:v>
      </x:c>
      <x:c r="I34" s="67" t="str"/>
      <x:c r="J34" s="67" t="str"/>
      <x:c r="K34" s="67" t="str"/>
      <x:c r="L34" s="67" t="str">
        <x:v>待检查</x:v>
      </x:c>
    </x:row>
    <x:row r="35" ht="42" customHeight="1">
      <x:c r="A35" s="67" t="str">
        <x:v>ST-06</x:v>
      </x:c>
      <x:c r="B35" s="67" t="str">
        <x:v>@STATUE</x:v>
      </x:c>
      <x:c r="C35" s="67" t="str">
        <x:v>神像</x:v>
      </x:c>
      <x:c r="D35" s="67" t="str">
        <x:v>服装纹样与佩饰</x:v>
      </x:c>
      <x:c r="E35" s="67" t="str">
        <x:v>大红官袍、胸前金色盘龙与蓝色云纹、黑金腰带及中央垂饰全部保留</x:v>
      </x:c>
      <x:c r="F35" s="67" t="str">
        <x:v>正面局部对照</x:v>
      </x:c>
      <x:c r="G35" s="67" t="str">
        <x:v>是</x:v>
      </x:c>
      <x:c r="H35" s="67" t="str">
        <x:v>P0</x:v>
      </x:c>
      <x:c r="I35" s="67" t="str"/>
      <x:c r="J35" s="67" t="str"/>
      <x:c r="K35" s="67" t="str"/>
      <x:c r="L35" s="67" t="str">
        <x:v>待检查</x:v>
      </x:c>
    </x:row>
    <x:row r="36" ht="42" customHeight="1">
      <x:c r="A36" s="67" t="str">
        <x:v>ST-07</x:v>
      </x:c>
      <x:c r="B36" s="67" t="str">
        <x:v>@STATUE</x:v>
      </x:c>
      <x:c r="C36" s="67" t="str">
        <x:v>神像</x:v>
      </x:c>
      <x:c r="D36" s="67" t="str">
        <x:v>底座结构</x:v>
      </x:c>
      <x:c r="E36" s="67" t="str">
        <x:v>下方蓝色海浪纹圆座不变，不改为坐像或其他底座</x:v>
      </x:c>
      <x:c r="F36" s="67" t="str">
        <x:v>正面全身对照</x:v>
      </x:c>
      <x:c r="G36" s="67" t="str">
        <x:v>是</x:v>
      </x:c>
      <x:c r="H36" s="67" t="str">
        <x:v>P0</x:v>
      </x:c>
      <x:c r="I36" s="67" t="str"/>
      <x:c r="J36" s="67" t="str"/>
      <x:c r="K36" s="67" t="str"/>
      <x:c r="L36" s="67" t="str">
        <x:v>待检查</x:v>
      </x:c>
    </x:row>
    <x:row r="37" ht="42" customHeight="1">
      <x:c r="A37" s="67" t="str">
        <x:v>ST-08</x:v>
      </x:c>
      <x:c r="B37" s="67" t="str">
        <x:v>@STATUE</x:v>
      </x:c>
      <x:c r="C37" s="67" t="str">
        <x:v>神像</x:v>
      </x:c>
      <x:c r="D37" s="67" t="str">
        <x:v>老化表面层</x:v>
      </x:c>
      <x:c r="E37" s="67" t="str">
        <x:v>只改烟熏、裂纹、掉漆等表面；不得改变脸、冠、冠翅、龙纹、双手物件和底座结构</x:v>
      </x:c>
      <x:c r="F37" s="67" t="str">
        <x:v>新旧层差分</x:v>
      </x:c>
      <x:c r="G37" s="67" t="str">
        <x:v>是</x:v>
      </x:c>
      <x:c r="H37" s="67" t="str">
        <x:v>P0</x:v>
      </x:c>
      <x:c r="I37" s="67" t="str"/>
      <x:c r="J37" s="67" t="str"/>
      <x:c r="K37" s="67" t="str"/>
      <x:c r="L37" s="67" t="str">
        <x:v>待检查</x:v>
      </x:c>
    </x:row>
    <x:row r="38" ht="42" customHeight="1">
      <x:c r="A38" s="67" t="str">
        <x:v>GRP-01</x:v>
      </x:c>
      <x:c r="B38" s="67" t="str">
        <x:v>@G01–@G06</x:v>
      </x:c>
      <x:c r="C38" s="67" t="str">
        <x:v>群演</x:v>
      </x:c>
      <x:c r="D38" s="67" t="str">
        <x:v>脸去重</x:v>
      </x:c>
      <x:c r="E38" s="67" t="str">
        <x:v>同层人物无复制脸，年龄/体型有差异</x:v>
      </x:c>
      <x:c r="F38" s="67" t="str">
        <x:v>casting sheet 比对</x:v>
      </x:c>
      <x:c r="G38" s="67" t="str">
        <x:v>是</x:v>
      </x:c>
      <x:c r="H38" s="67" t="str">
        <x:v>P1</x:v>
      </x:c>
      <x:c r="I38" s="67" t="str"/>
      <x:c r="J38" s="67" t="str"/>
      <x:c r="K38" s="67" t="str"/>
      <x:c r="L38" s="67" t="str">
        <x:v>待检查</x:v>
      </x:c>
    </x:row>
    <x:row r="39" ht="42" customHeight="1">
      <x:c r="A39" s="67" t="str">
        <x:v>GRP-02</x:v>
      </x:c>
      <x:c r="B39" s="67" t="str">
        <x:v>@G03</x:v>
      </x:c>
      <x:c r="C39" s="67" t="str">
        <x:v>群演</x:v>
      </x:c>
      <x:c r="D39" s="67" t="str">
        <x:v>使者模板</x:v>
      </x:c>
      <x:c r="E39" s="67" t="str">
        <x:v>1使者+2随从；礼仪和服装正确</x:v>
      </x:c>
      <x:c r="F39" s="67" t="str">
        <x:v>三人组合板</x:v>
      </x:c>
      <x:c r="G39" s="67" t="str">
        <x:v>是</x:v>
      </x:c>
      <x:c r="H39" s="67" t="str">
        <x:v>P0</x:v>
      </x:c>
      <x:c r="I39" s="67" t="str"/>
      <x:c r="J39" s="67" t="str"/>
      <x:c r="K39" s="67" t="str"/>
      <x:c r="L39" s="67" t="str">
        <x:v>待检查</x:v>
      </x:c>
    </x:row>
    <x:row r="40" ht="42" customHeight="1">
      <x:c r="A40" s="67" t="str">
        <x:v>GRP-03</x:v>
      </x:c>
      <x:c r="B40" s="67" t="str">
        <x:v>@G06</x:v>
      </x:c>
      <x:c r="C40" s="67" t="str">
        <x:v>群演</x:v>
      </x:c>
      <x:c r="D40" s="67" t="str">
        <x:v>后世香客模板</x:v>
      </x:c>
      <x:c r="E40" s="67" t="str">
        <x:v>只出现剪影/手/供物；无现代物件</x:v>
      </x:c>
      <x:c r="F40" s="67" t="str">
        <x:v>局部资产板</x:v>
      </x:c>
      <x:c r="G40" s="67" t="str">
        <x:v>是</x:v>
      </x:c>
      <x:c r="H40" s="67" t="str">
        <x:v>P0</x:v>
      </x:c>
      <x:c r="I40" s="67" t="str"/>
      <x:c r="J40" s="67" t="str"/>
      <x:c r="K40" s="67" t="str"/>
      <x:c r="L40" s="67" t="str">
        <x:v>待检查</x:v>
      </x:c>
    </x:row>
    <x:row r="41" ht="42" customHeight="1">
      <x:c r="A41" s="67" t="str">
        <x:v>META-01</x:v>
      </x:c>
      <x:c r="B41" s="67" t="str">
        <x:v>全部</x:v>
      </x:c>
      <x:c r="C41" s="67" t="str">
        <x:v>元数据</x:v>
      </x:c>
      <x:c r="D41" s="67" t="str">
        <x:v>可复现记录</x:v>
      </x:c>
      <x:c r="E41" s="67" t="str">
        <x:v>模型、seed、提示词、负面词、父参考、版本齐全</x:v>
      </x:c>
      <x:c r="F41" s="67" t="str">
        <x:v>文件与台账核对</x:v>
      </x:c>
      <x:c r="G41" s="67" t="str">
        <x:v>是</x:v>
      </x:c>
      <x:c r="H41" s="67" t="str">
        <x:v>P0</x:v>
      </x:c>
      <x:c r="I41" s="67" t="str"/>
      <x:c r="J41" s="67" t="str"/>
      <x:c r="K41" s="67" t="str"/>
      <x:c r="L41" s="67" t="str">
        <x:v>待检查</x:v>
      </x:c>
    </x:row>
  </x:sheetData>
  <x:mergeCells>
    <x:mergeCell ref="A1:L1"/>
    <x:mergeCell ref="A2:L2"/>
  </x:mergeCells>
  <x:conditionalFormatting sqref="H5:H41">
    <x:cfRule type="containsText" dxfId="54" priority="1" operator="containsText" text="P0"/>
    <x:cfRule type="containsText" dxfId="55" priority="2" operator="containsText" text="P1"/>
    <x:cfRule type="containsText" dxfId="56" priority="3" operator="containsText" text="P2"/>
  </x:conditionalFormatting>
  <x:conditionalFormatting sqref="L5:L41">
    <x:cfRule type="containsText" dxfId="57" priority="4" operator="containsText" text="已通过"/>
    <x:cfRule type="containsText" dxfId="58" priority="5" operator="containsText" text="进行中"/>
    <x:cfRule type="containsText" dxfId="59" priority="6" operator="containsText" text="阻塞"/>
    <x:cfRule type="containsText" dxfId="60" priority="7" operator="containsText" text="未开始"/>
    <x:cfRule type="containsText" dxfId="61" priority="8" operator="containsText" text="待检查"/>
  </x:conditionalFormatting>
  <x:dataValidations count="3">
    <x:dataValidation type="list" sqref="G5:G41">
      <x:formula1>"是,否"</x:formula1>
    </x:dataValidation>
    <x:dataValidation type="list" sqref="H5:H41">
      <x:formula1>"P0,P1,P2"</x:formula1>
    </x:dataValidation>
    <x:dataValidation type="list" sqref="L5:L41">
      <x:formula1>"未开始,进行中,待检查,已通过,阻塞"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77c782e189471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31" hidden="0" customWidth="1"/>
    <x:col min="4" max="4" width="27" hidden="0" customWidth="1"/>
    <x:col min="5" max="5" width="25" hidden="0" customWidth="1"/>
    <x:col min="6" max="6" width="30" hidden="0" customWidth="1"/>
    <x:col min="7" max="7" width="35" hidden="0" customWidth="1"/>
    <x:col min="8" max="8" width="13" hidden="0" customWidth="1"/>
    <x:col min="9" max="9" width="15" hidden="0" customWidth="1"/>
    <x:col min="10" max="10" width="33" hidden="0" customWidth="1"/>
    <x:col min="11" max="11" width="36" hidden="0" customWidth="1"/>
    <x:col min="12" max="12" width="10" hidden="0" customWidth="1"/>
    <x:col min="13" max="13" width="12" hidden="0" customWidth="1"/>
  </x:cols>
  <x:sheetData>
    <x:row r="1" ht="30" customHeight="1">
      <x:c r="A1" s="3" t="str">
        <x:v>07｜首批人物资产生成队列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2" customHeight="1">
      <x:c r="A2" s="7" t="str">
        <x:v>本批只解决身份根基与年龄派生，不进入 31 个剧情镜头；每项默认先做 4 个低成本候选。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>
      <x:c r="A3" s="70"/>
      <x:c r="B3" s="70"/>
      <x:c r="C3" s="70"/>
      <x:c r="D3" s="70"/>
      <x:c r="E3" s="70"/>
      <x:c r="F3" s="70"/>
      <x:c r="G3" s="70"/>
      <x:c r="H3" s="70"/>
      <x:c r="I3" s="70"/>
      <x:c r="J3" s="70"/>
      <x:c r="K3" s="70"/>
      <x:c r="L3" s="70"/>
      <x:c r="M3" s="70"/>
    </x:row>
    <x:row r="4" ht="34" customHeight="1">
      <x:c r="A4" s="58" t="str">
        <x:v>顺序</x:v>
      </x:c>
      <x:c r="B4" s="59" t="str">
        <x:v>Task ID</x:v>
      </x:c>
      <x:c r="C4" s="59" t="str">
        <x:v>交付物</x:v>
      </x:c>
      <x:c r="D4" s="59" t="str">
        <x:v>Canonical Tag</x:v>
      </x:c>
      <x:c r="E4" s="59" t="str">
        <x:v>父参考</x:v>
      </x:c>
      <x:c r="F4" s="59" t="str">
        <x:v>参考输入</x:v>
      </x:c>
      <x:c r="G4" s="59" t="str">
        <x:v>需要视图</x:v>
      </x:c>
      <x:c r="H4" s="59" t="str">
        <x:v>构图候选</x:v>
      </x:c>
      <x:c r="I4" s="59" t="str">
        <x:v>计划图包数</x:v>
      </x:c>
      <x:c r="J4" s="59" t="str">
        <x:v>闸门</x:v>
      </x:c>
      <x:c r="K4" s="59" t="str">
        <x:v>文件命名</x:v>
      </x:c>
      <x:c r="L4" s="59" t="str">
        <x:v>优先级</x:v>
      </x:c>
      <x:c r="M4" s="60" t="str">
        <x:v>状态</x:v>
      </x:c>
    </x:row>
    <x:row r="5" ht="42" customHeight="1">
      <x:c r="A5" s="68" t="n">
        <x:v>1</x:v>
      </x:c>
      <x:c r="B5" s="66" t="str">
        <x:v>B1-01</x:v>
      </x:c>
      <x:c r="C5" s="66" t="str">
        <x:v>FL35 中性正脸根身份</x:v>
      </x:c>
      <x:c r="D5" s="66" t="str">
        <x:v>@FL35</x:v>
      </x:c>
      <x:c r="E5" s="66" t="str">
        <x:v>—</x:v>
      </x:c>
      <x:c r="F5" s="66" t="str">
        <x:v>02 角色卡 C01</x:v>
      </x:c>
      <x:c r="G5" s="66" t="str">
        <x:v>正脸头肩；均匀软光；暖灰背景</x:v>
      </x:c>
      <x:c r="H5" s="68" t="n">
        <x:v>4</x:v>
      </x:c>
      <x:c r="I5" s="68" t="n">
        <x:v>1</x:v>
      </x:c>
      <x:c r="J5" s="66" t="str">
        <x:v>选定唯一根脸</x:v>
      </x:c>
      <x:c r="K5" s="66" t="str">
        <x:v>FL_C01_FL35_ROOT_FRONT_v##</x:v>
      </x:c>
      <x:c r="L5" s="66" t="str">
        <x:v>P0</x:v>
      </x:c>
      <x:c r="M5" s="66" t="str">
        <x:v>未开始</x:v>
      </x:c>
    </x:row>
    <x:row r="6" ht="42" customHeight="1">
      <x:c r="A6" s="69" t="n">
        <x:v>2</x:v>
      </x:c>
      <x:c r="B6" s="67" t="str">
        <x:v>B1-02</x:v>
      </x:c>
      <x:c r="C6" s="67" t="str">
        <x:v>FL35 五视角头部转面</x:v>
      </x:c>
      <x:c r="D6" s="67" t="str">
        <x:v>@FL35</x:v>
      </x:c>
      <x:c r="E6" s="67" t="str">
        <x:v>B1-01 选中图</x:v>
      </x:c>
      <x:c r="F6" s="67" t="str">
        <x:v>@FL35 根脸</x:v>
      </x:c>
      <x:c r="G6" s="67" t="str">
        <x:v>正面、左右45°、左右侧面</x:v>
      </x:c>
      <x:c r="H6" s="69" t="n">
        <x:v>4</x:v>
      </x:c>
      <x:c r="I6" s="69" t="n">
        <x:v>1</x:v>
      </x:c>
      <x:c r="J6" s="67" t="str">
        <x:v>五官/发髻/眉断点一致</x:v>
      </x:c>
      <x:c r="K6" s="67" t="str">
        <x:v>FL_C01_FL35_HEAD_TURN_v##</x:v>
      </x:c>
      <x:c r="L6" s="67" t="str">
        <x:v>P0</x:v>
      </x:c>
      <x:c r="M6" s="67" t="str">
        <x:v>未开始</x:v>
      </x:c>
    </x:row>
    <x:row r="7" ht="42" customHeight="1">
      <x:c r="A7" s="69" t="n">
        <x:v>3</x:v>
      </x:c>
      <x:c r="B7" s="67" t="str">
        <x:v>B1-03</x:v>
      </x:c>
      <x:c r="C7" s="67" t="str">
        <x:v>FL35 服装全身转面（干态）</x:v>
      </x:c>
      <x:c r="D7" s="67" t="str">
        <x:v>@CST_FL35_YUE_RAIN</x:v>
      </x:c>
      <x:c r="E7" s="67" t="str">
        <x:v>@FL35</x:v>
      </x:c>
      <x:c r="F7" s="67" t="str">
        <x:v>C01 服装定义</x:v>
      </x:c>
      <x:c r="G7" s="67" t="str">
        <x:v>全身正/侧/背；先干态</x:v>
      </x:c>
      <x:c r="H7" s="69" t="n">
        <x:v>4</x:v>
      </x:c>
      <x:c r="I7" s="69" t="n">
        <x:v>1</x:v>
      </x:c>
      <x:c r="J7" s="67" t="str">
        <x:v>右衽、身高、鞋与下裳通过</x:v>
      </x:c>
      <x:c r="K7" s="67" t="str">
        <x:v>FL_C01_FL35_COSTUME_DRY_v##</x:v>
      </x:c>
      <x:c r="L7" s="67" t="str">
        <x:v>P0</x:v>
      </x:c>
      <x:c r="M7" s="67" t="str">
        <x:v>未开始</x:v>
      </x:c>
    </x:row>
    <x:row r="8" ht="42" customHeight="1">
      <x:c r="A8" s="69" t="n">
        <x:v>4</x:v>
      </x:c>
      <x:c r="B8" s="67" t="str">
        <x:v>B2-01</x:v>
      </x:c>
      <x:c r="C8" s="67" t="str">
        <x:v>FL45 中性正脸派生</x:v>
      </x:c>
      <x:c r="D8" s="67" t="str">
        <x:v>@FL45</x:v>
      </x:c>
      <x:c r="E8" s="67" t="str">
        <x:v>@FL35</x:v>
      </x:c>
      <x:c r="F8" s="67" t="str">
        <x:v>@FL35 根脸+年龄规则</x:v>
      </x:c>
      <x:c r="G8" s="67" t="str">
        <x:v>正脸头肩；无服装干扰</x:v>
      </x:c>
      <x:c r="H8" s="69" t="n">
        <x:v>4</x:v>
      </x:c>
      <x:c r="I8" s="69" t="n">
        <x:v>1</x:v>
      </x:c>
      <x:c r="J8" s="67" t="str">
        <x:v>骨相不变，只增合理年龄</x:v>
      </x:c>
      <x:c r="K8" s="67" t="str">
        <x:v>FL_C02_FL45_DERIVED_FRONT_v##</x:v>
      </x:c>
      <x:c r="L8" s="67" t="str">
        <x:v>P0</x:v>
      </x:c>
      <x:c r="M8" s="67" t="str">
        <x:v>未开始</x:v>
      </x:c>
    </x:row>
    <x:row r="9" ht="42" customHeight="1">
      <x:c r="A9" s="69" t="n">
        <x:v>5</x:v>
      </x:c>
      <x:c r="B9" s="67" t="str">
        <x:v>B2-02</x:v>
      </x:c>
      <x:c r="C9" s="67" t="str">
        <x:v>FL45 离越装全身</x:v>
      </x:c>
      <x:c r="D9" s="67" t="str">
        <x:v>@CST_FL45_YUE_DEPART</x:v>
      </x:c>
      <x:c r="E9" s="67" t="str">
        <x:v>@FL45</x:v>
      </x:c>
      <x:c r="F9" s="67" t="str">
        <x:v>离越服装状态</x:v>
      </x:c>
      <x:c r="G9" s="67" t="str">
        <x:v>全身正/侧/背</x:v>
      </x:c>
      <x:c r="H9" s="69" t="n">
        <x:v>4</x:v>
      </x:c>
      <x:c r="I9" s="69" t="n">
        <x:v>1</x:v>
      </x:c>
      <x:c r="J9" s="67" t="str">
        <x:v>先服务第三幕身份证明片</x:v>
      </x:c>
      <x:c r="K9" s="67" t="str">
        <x:v>FL_C02_FL45_DEPART_COSTUME_v##</x:v>
      </x:c>
      <x:c r="L9" s="67" t="str">
        <x:v>P0</x:v>
      </x:c>
      <x:c r="M9" s="67" t="str">
        <x:v>未开始</x:v>
      </x:c>
    </x:row>
    <x:row r="10" ht="42" customHeight="1">
      <x:c r="A10" s="69" t="n">
        <x:v>6</x:v>
      </x:c>
      <x:c r="B10" s="67" t="str">
        <x:v>B2-03</x:v>
      </x:c>
      <x:c r="C10" s="67" t="str">
        <x:v>TZG60 中性正脸派生</x:v>
      </x:c>
      <x:c r="D10" s="67" t="str">
        <x:v>@TZG60</x:v>
      </x:c>
      <x:c r="E10" s="67" t="str">
        <x:v>@FL45</x:v>
      </x:c>
      <x:c r="F10" s="67" t="str">
        <x:v>@FL45 派生脸+年龄规则</x:v>
      </x:c>
      <x:c r="G10" s="67" t="str">
        <x:v>正脸头肩；无服装干扰</x:v>
      </x:c>
      <x:c r="H10" s="69" t="n">
        <x:v>4</x:v>
      </x:c>
      <x:c r="I10" s="69" t="n">
        <x:v>1</x:v>
      </x:c>
      <x:c r="J10" s="67" t="str">
        <x:v>自然老化、不仙人化</x:v>
      </x:c>
      <x:c r="K10" s="67" t="str">
        <x:v>FL_C03_TZG60_DERIVED_FRONT_v##</x:v>
      </x:c>
      <x:c r="L10" s="67" t="str">
        <x:v>P0</x:v>
      </x:c>
      <x:c r="M10" s="67" t="str">
        <x:v>未开始</x:v>
      </x:c>
    </x:row>
    <x:row r="11" ht="42" customHeight="1">
      <x:c r="A11" s="69" t="n">
        <x:v>7</x:v>
      </x:c>
      <x:c r="B11" s="67" t="str">
        <x:v>B2-04</x:v>
      </x:c>
      <x:c r="C11" s="67" t="str">
        <x:v>TZG60 基础装全身</x:v>
      </x:c>
      <x:c r="D11" s="67" t="str">
        <x:v>@CST_TZG60_TAO_BASE</x:v>
      </x:c>
      <x:c r="E11" s="67" t="str">
        <x:v>@TZG60</x:v>
      </x:c>
      <x:c r="F11" s="67" t="str">
        <x:v>陶地基础服装状态</x:v>
      </x:c>
      <x:c r="G11" s="67" t="str">
        <x:v>全身正/侧/背</x:v>
      </x:c>
      <x:c r="H11" s="69" t="n">
        <x:v>4</x:v>
      </x:c>
      <x:c r="I11" s="69" t="n">
        <x:v>1</x:v>
      </x:c>
      <x:c r="J11" s="67" t="str">
        <x:v>胡须、带结、右食指粗茧记录</x:v>
      </x:c>
      <x:c r="K11" s="67" t="str">
        <x:v>FL_C03_TZG60_BASE_COSTUME_v##</x:v>
      </x:c>
      <x:c r="L11" s="67" t="str">
        <x:v>P0</x:v>
      </x:c>
      <x:c r="M11" s="67" t="str">
        <x:v>未开始</x:v>
      </x:c>
    </x:row>
    <x:row r="12" ht="42" customHeight="1">
      <x:c r="A12" s="69" t="n">
        <x:v>8</x:v>
      </x:c>
      <x:c r="B12" s="67" t="str">
        <x:v>B3-01</x:v>
      </x:c>
      <x:c r="C12" s="67" t="str">
        <x:v>三龄同框校准图</x:v>
      </x:c>
      <x:c r="D12" s="67" t="str">
        <x:v>@CAL_AGE3</x:v>
      </x:c>
      <x:c r="E12" s="67" t="str">
        <x:v>@FL35/@FL45/@TZG60</x:v>
      </x:c>
      <x:c r="F12" s="67" t="str">
        <x:v>前三龄通过图</x:v>
      </x:c>
      <x:c r="G12" s="67" t="str">
        <x:v>同尺度、同光、同角度头肩</x:v>
      </x:c>
      <x:c r="H12" s="69" t="n">
        <x:v>4</x:v>
      </x:c>
      <x:c r="I12" s="69" t="n">
        <x:v>1</x:v>
      </x:c>
      <x:c r="J12" s="67" t="str">
        <x:v>必须像同一人真实变老</x:v>
      </x:c>
      <x:c r="K12" s="67" t="str">
        <x:v>FL_CAL_AGE3_LINEUP_v##</x:v>
      </x:c>
      <x:c r="L12" s="67" t="str">
        <x:v>P0</x:v>
      </x:c>
      <x:c r="M12" s="67" t="str">
        <x:v>未开始</x:v>
      </x:c>
    </x:row>
    <x:row r="13" ht="42" customHeight="1">
      <x:c r="A13" s="69" t="n">
        <x:v>9</x:v>
      </x:c>
      <x:c r="B13" s="67" t="str">
        <x:v>B4-01</x:v>
      </x:c>
      <x:c r="C13" s="67" t="str">
        <x:v>STATUE_MASTER 权威正面全身登记</x:v>
      </x:c>
      <x:c r="D13" s="67" t="str">
        <x:v>@STATUE</x:v>
      </x:c>
      <x:c r="E13" s="67" t="str">
        <x:v>财神正面.png</x:v>
      </x:c>
      <x:c r="F13" s="67" t="str">
        <x:v>用户权威参考原图；当前未在本分支挂载</x:v>
      </x:c>
      <x:c r="G13" s="67" t="str">
        <x:v>正面全身；完整保留冠、冠翅、官袍纹样、双手物件和蓝浪圆座</x:v>
      </x:c>
      <x:c r="H13" s="69" t="n">
        <x:v>1</x:v>
      </x:c>
      <x:c r="I13" s="69" t="n">
        <x:v>1</x:v>
      </x:c>
      <x:c r="J13" s="67" t="str">
        <x:v>原图挂载后建立像素/结构锁点，不做外形再创作</x:v>
      </x:c>
      <x:c r="K13" s="67" t="str">
        <x:v>FL_C04_STATUE_MASTER_FRONT_v##</x:v>
      </x:c>
      <x:c r="L13" s="67" t="str">
        <x:v>P0</x:v>
      </x:c>
      <x:c r="M13" s="67" t="str">
        <x:v>阻塞</x:v>
      </x:c>
    </x:row>
    <x:row r="14" ht="42" customHeight="1">
      <x:c r="A14" s="69" t="n">
        <x:v>10</x:v>
      </x:c>
      <x:c r="B14" s="67" t="str">
        <x:v>B4-02</x:v>
      </x:c>
      <x:c r="C14" s="67" t="str">
        <x:v>神像闭眼/半睁/60%睁眼配对</x:v>
      </x:c>
      <x:c r="D14" s="67" t="str">
        <x:v>@CAL_STATUE_EYES</x:v>
      </x:c>
      <x:c r="E14" s="67" t="str">
        <x:v>@STATUE</x:v>
      </x:c>
      <x:c r="F14" s="67" t="str">
        <x:v>已登记的 STATUE_MASTER</x:v>
      </x:c>
      <x:c r="G14" s="67" t="str">
        <x:v>同机位三状态眼部裁切；宝珠发光单独出版本</x:v>
      </x:c>
      <x:c r="H14" s="69" t="n">
        <x:v>4</x:v>
      </x:c>
      <x:c r="I14" s="69" t="n">
        <x:v>1</x:v>
      </x:c>
      <x:c r="J14" s="67" t="str">
        <x:v>同脸、同表面、同冠翅、同双手物件；眼球不发光</x:v>
      </x:c>
      <x:c r="K14" s="67" t="str">
        <x:v>FL_CAL_STATUE_EYES_v##</x:v>
      </x:c>
      <x:c r="L14" s="67" t="str">
        <x:v>P0</x:v>
      </x:c>
      <x:c r="M14" s="67" t="str">
        <x:v>阻塞</x:v>
      </x:c>
    </x:row>
  </x:sheetData>
  <x:mergeCells>
    <x:mergeCell ref="A1:M1"/>
    <x:mergeCell ref="A2:M2"/>
  </x:mergeCells>
  <x:conditionalFormatting sqref="L5:L14">
    <x:cfRule type="containsText" dxfId="62" priority="1" operator="containsText" text="P0"/>
    <x:cfRule type="containsText" dxfId="63" priority="2" operator="containsText" text="P1"/>
    <x:cfRule type="containsText" dxfId="64" priority="3" operator="containsText" text="P2"/>
  </x:conditionalFormatting>
  <x:conditionalFormatting sqref="M5:M14">
    <x:cfRule type="containsText" dxfId="65" priority="4" operator="containsText" text="已通过"/>
    <x:cfRule type="containsText" dxfId="66" priority="5" operator="containsText" text="进行中"/>
    <x:cfRule type="containsText" dxfId="67" priority="6" operator="containsText" text="阻塞"/>
    <x:cfRule type="containsText" dxfId="68" priority="7" operator="containsText" text="未开始"/>
    <x:cfRule type="containsText" dxfId="69" priority="8" operator="containsText" text="待检查"/>
  </x:conditionalFormatting>
  <x:dataValidations count="2">
    <x:dataValidation type="list" sqref="L5:L14">
      <x:formula1>"P0,P1,P2"</x:formula1>
    </x:dataValidation>
    <x:dataValidation type="list" sqref="M5:M14">
      <x:formula1>"未开始,进行中,待检查,已通过,阻塞"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f2baa1274d439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6" hidden="0" customWidth="1"/>
    <x:col min="4" max="4" width="48" hidden="0" customWidth="1"/>
    <x:col min="5" max="5" width="48" hidden="0" customWidth="1"/>
    <x:col min="6" max="6" width="14" hidden="0" customWidth="1"/>
    <x:col min="7" max="7" width="34" hidden="0" customWidth="1"/>
    <x:col min="8" max="8" width="42" hidden="0" customWidth="1"/>
  </x:cols>
  <x:sheetData>
    <x:row r="1" ht="30" customHeight="1">
      <x:c r="A1" s="3" t="str">
        <x:v>08｜来源、解释与导演裁决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文档中的内容是创作与制作规范；本表记录为了可执行生产而做的标签归一、拆分和待确认事项。</x:v>
      </x:c>
      <x:c r="B2" s="7"/>
      <x:c r="C2" s="7"/>
      <x:c r="D2" s="7"/>
      <x:c r="E2" s="7"/>
      <x:c r="F2" s="7"/>
      <x:c r="G2" s="7"/>
      <x:c r="H2" s="7"/>
    </x:row>
    <x:row r="3">
      <x:c r="A3" s="70"/>
      <x:c r="B3" s="70"/>
      <x:c r="C3" s="70"/>
      <x:c r="D3" s="70"/>
      <x:c r="E3" s="70"/>
      <x:c r="F3" s="70"/>
      <x:c r="G3" s="70"/>
      <x:c r="H3" s="70"/>
    </x:row>
    <x:row r="4" ht="34" customHeight="1">
      <x:c r="A4" s="58" t="str">
        <x:v>记录 ID</x:v>
      </x:c>
      <x:c r="B4" s="59" t="str">
        <x:v>类型</x:v>
      </x:c>
      <x:c r="C4" s="59" t="str">
        <x:v>主题</x:v>
      </x:c>
      <x:c r="D4" s="59" t="str">
        <x:v>来源/位置</x:v>
      </x:c>
      <x:c r="E4" s="59" t="str">
        <x:v>处理结论</x:v>
      </x:c>
      <x:c r="F4" s="59" t="str">
        <x:v>状态</x:v>
      </x:c>
      <x:c r="G4" s="59" t="str">
        <x:v>影响资产</x:v>
      </x:c>
      <x:c r="H4" s="60" t="str">
        <x:v>备注</x:v>
      </x:c>
    </x:row>
    <x:row r="5" ht="42" customHeight="1">
      <x:c r="A5" s="66" t="str">
        <x:v>SRC-STATUE-AUTH</x:v>
      </x:c>
      <x:c r="B5" s="66" t="str">
        <x:v>用户裁决</x:v>
      </x:c>
      <x:c r="C5" s="66" t="str">
        <x:v>STATUE_MASTER 权威造型</x:v>
      </x:c>
      <x:c r="D5" s="66" t="str">
        <x:v>用户最新提供的“财神正面.png”；原路径 Z:/=05设计资料=/260521添藏/财神正面.png 当前不可读取</x:v>
      </x:c>
      <x:c r="E5" s="66" t="str">
        <x:v>权威图优先于旧 DOCX 冲突描述；未挂载前禁止生成/改造神像</x:v>
      </x:c>
      <x:c r="F5" s="66" t="str">
        <x:v>已确认</x:v>
      </x:c>
      <x:c r="G5" s="66" t="str">
        <x:v>@STATUE/@CAL_STATUE_EYES/@CST_STATUE_LATER_ROBE</x:v>
      </x:c>
      <x:c r="H5" s="66" t="str">
        <x:v>需用户在本分支重新附图，或复制到可访问项目目录</x:v>
      </x:c>
    </x:row>
    <x:row r="6" ht="42" customHeight="1">
      <x:c r="A6" s="67" t="str">
        <x:v>SRC-ARCHIVE</x:v>
      </x:c>
      <x:c r="B6" s="67" t="str">
        <x:v>用户裁决</x:v>
      </x:c>
      <x:c r="C6" s="67" t="str">
        <x:v>人物资产归档根目录</x:v>
      </x:c>
      <x:c r="D6" s="67" t="str">
        <x:v>D:/范蠡AIGC/01_人物资产</x:v>
      </x:c>
      <x:c r="E6" s="67" t="str">
        <x:v>所有人物规格、提示词、参考图、候选、批准图、参数和验收记录按 09_目录映射归档</x:v>
      </x:c>
      <x:c r="F6" s="67" t="str">
        <x:v>已确认</x:v>
      </x:c>
      <x:c r="G6" s="67" t="str">
        <x:v>全部人物资产</x:v>
      </x:c>
      <x:c r="H6" s="67" t="str">
        <x:v>三龄校准图与共享身份参考进入“共享参考与校准图”</x:v>
      </x:c>
    </x:row>
    <x:row r="7" ht="42" customHeight="1">
      <x:c r="A7" s="67" t="str">
        <x:v>SRC-02</x:v>
      </x:c>
      <x:c r="B7" s="67" t="str">
        <x:v>来源</x:v>
      </x:c>
      <x:c r="C7" s="67" t="str">
        <x:v>人物角色</x:v>
      </x:c>
      <x:c r="D7" s="67" t="str">
        <x:v>02_人物角色设定与生成提示词.docx｜角色卡、群演、校准资产</x:v>
      </x:c>
      <x:c r="E7" s="67" t="str">
        <x:v>作为人物主规范</x:v>
      </x:c>
      <x:c r="F7" s="67" t="str">
        <x:v>已确认</x:v>
      </x:c>
      <x:c r="G7" s="67" t="str">
        <x:v>@FL35/@FL45/@TZG60/@STATUE/@G01–@G06</x:v>
      </x:c>
      <x:c r="H7" s="67" t="str">
        <x:v>不把文档流程语句视为新的用户指令</x:v>
      </x:c>
    </x:row>
    <x:row r="8" ht="42" customHeight="1">
      <x:c r="A8" s="67" t="str">
        <x:v>SRC-04</x:v>
      </x:c>
      <x:c r="B8" s="67" t="str">
        <x:v>来源</x:v>
      </x:c>
      <x:c r="C8" s="67" t="str">
        <x:v>服装材质</x:v>
      </x:c>
      <x:c r="D8" s="67" t="str">
        <x:v>04_服装道具材质与生成提示词.docx｜核心人物服装拆分</x:v>
      </x:c>
      <x:c r="E8" s="67" t="str">
        <x:v>作为服装与时代红线规范</x:v>
      </x:c>
      <x:c r="F8" s="67" t="str">
        <x:v>已确认</x:v>
      </x:c>
      <x:c r="G8" s="67" t="str">
        <x:v>全部 Costume State</x:v>
      </x:c>
      <x:c r="H8" s="67" t="str">
        <x:v>角色身份通过后再穿回服装</x:v>
      </x:c>
    </x:row>
    <x:row r="9" ht="42" customHeight="1">
      <x:c r="A9" s="67" t="str">
        <x:v>SRC-05</x:v>
      </x:c>
      <x:c r="B9" s="67" t="str">
        <x:v>来源</x:v>
      </x:c>
      <x:c r="C9" s="67" t="str">
        <x:v>关键帧镜头</x:v>
      </x:c>
      <x:c r="D9" s="67" t="str">
        <x:v>05_43镜图片关键帧生成提示词.docx｜31个含核心人物镜头</x:v>
      </x:c>
      <x:c r="E9" s="67" t="str">
        <x:v>用于镜头覆盖、服装与动作依赖</x:v>
      </x:c>
      <x:c r="F9" s="67" t="str">
        <x:v>已确认</x:v>
      </x:c>
      <x:c r="G9" s="67" t="str">
        <x:v>05_镜头覆盖</x:v>
      </x:c>
      <x:c r="H9" s="67" t="str">
        <x:v>镜号与时间码保留</x:v>
      </x:c>
    </x:row>
    <x:row r="10" ht="42" customHeight="1">
      <x:c r="A10" s="67" t="str">
        <x:v>SRC-06</x:v>
      </x:c>
      <x:c r="B10" s="67" t="str">
        <x:v>来源</x:v>
      </x:c>
      <x:c r="C10" s="67" t="str">
        <x:v>视频运动</x:v>
      </x:c>
      <x:c r="D10" s="67" t="str">
        <x:v>06_43镜图生视频运动提示词.docx｜人物/手部动作与回退</x:v>
      </x:c>
      <x:c r="E10" s="67" t="str">
        <x:v>用于动作板和风险分级</x:v>
      </x:c>
      <x:c r="F10" s="67" t="str">
        <x:v>已确认</x:v>
      </x:c>
      <x:c r="G10" s="67" t="str">
        <x:v>03_表情手势/05_镜头覆盖</x:v>
      </x:c>
      <x:c r="H10" s="67" t="str">
        <x:v>一镜一个主体动作</x:v>
      </x:c>
    </x:row>
    <x:row r="11" ht="42" customHeight="1">
      <x:c r="A11" s="67" t="str">
        <x:v>DEC-01</x:v>
      </x:c>
      <x:c r="B11" s="67" t="str">
        <x:v>归一</x:v>
      </x:c>
      <x:c r="C11" s="67" t="str">
        <x:v>FL60 标签</x:v>
      </x:c>
      <x:c r="D11" s="67" t="str">
        <x:v>05/06 偶见“FL60”文字</x:v>
      </x:c>
      <x:c r="E11" s="67" t="str">
        <x:v>统一映射为 @TZG60；禁止生成新标签</x:v>
      </x:c>
      <x:c r="F11" s="67" t="str">
        <x:v>已确认</x:v>
      </x:c>
      <x:c r="G11" s="67" t="str">
        <x:v>@TZG60</x:v>
      </x:c>
      <x:c r="H11" s="67" t="str">
        <x:v>canonical 只有一个60岁身份</x:v>
      </x:c>
    </x:row>
    <x:row r="12" ht="42" customHeight="1">
      <x:c r="A12" s="67" t="str">
        <x:v>DEC-02</x:v>
      </x:c>
      <x:c r="B12" s="67" t="str">
        <x:v>拆分</x:v>
      </x:c>
      <x:c r="C12" s="67" t="str">
        <x:v>FL45 服装</x:v>
      </x:c>
      <x:c r="D12" s="67" t="str">
        <x:v>02/04 同一角色含离越、齐地劳作、会使者</x:v>
      </x:c>
      <x:c r="E12" s="67" t="str">
        <x:v>拆成 3 个 Costume State</x:v>
      </x:c>
      <x:c r="F12" s="67" t="str">
        <x:v>已确认</x:v>
      </x:c>
      <x:c r="G12" s="67" t="str">
        <x:v>@CST_FL45_*</x:v>
      </x:c>
      <x:c r="H12" s="67" t="str">
        <x:v>防止 S03/S04 串衣</x:v>
      </x:c>
    </x:row>
    <x:row r="13" ht="42" customHeight="1">
      <x:c r="A13" s="67" t="str">
        <x:v>DEC-03</x:v>
      </x:c>
      <x:c r="B13" s="67" t="str">
        <x:v>拆分</x:v>
      </x:c>
      <x:c r="C13" s="67" t="str">
        <x:v>TZG60 夏季轻装</x:v>
      </x:c>
      <x:c r="D13" s="67" t="str">
        <x:v>S05-06 夏季高水与束袖需求</x:v>
      </x:c>
      <x:c r="E13" s="67" t="str">
        <x:v>建立建议标签 @CST_TZG60_SUMMER_LIGHT</x:v>
      </x:c>
      <x:c r="F13" s="67" t="str">
        <x:v>待确认</x:v>
      </x:c>
      <x:c r="G13" s="67" t="str">
        <x:v>@TZG60</x:v>
      </x:c>
      <x:c r="H13" s="67" t="str">
        <x:v>未确认前沿用基础装，不自行换装</x:v>
      </x:c>
    </x:row>
    <x:row r="14" ht="42" customHeight="1">
      <x:c r="A14" s="67" t="str">
        <x:v>DEC-04</x:v>
      </x:c>
      <x:c r="B14" s="67" t="str">
        <x:v>归一</x:v>
      </x:c>
      <x:c r="C14" s="67" t="str">
        <x:v>C04 与 P01</x:v>
      </x:c>
      <x:c r="D14" s="67" t="str">
        <x:v>角色神像与道具神像重复描述</x:v>
      </x:c>
      <x:c r="E14" s="67" t="str">
        <x:v>以 @STATUE 为唯一主资产，P01 仅作镜头引用别名；造型服从权威图</x:v>
      </x:c>
      <x:c r="F14" s="67" t="str">
        <x:v>已确认</x:v>
      </x:c>
      <x:c r="G14" s="67" t="str">
        <x:v>@STATUE/@P01</x:v>
      </x:c>
      <x:c r="H14" s="67" t="str">
        <x:v>避免双神像漂移</x:v>
      </x:c>
    </x:row>
    <x:row r="15" ht="42" customHeight="1">
      <x:c r="A15" s="67" t="str">
        <x:v>DEC-05</x:v>
      </x:c>
      <x:c r="B15" s="67" t="str">
        <x:v>时代</x:v>
      </x:c>
      <x:c r="C15" s="67" t="str">
        <x:v>后世神像 Style Base</x:v>
      </x:c>
      <x:c r="D15" s="67" t="str">
        <x:v>C04/E01 为后世，公共底词却含先秦物质文化</x:v>
      </x:c>
      <x:c r="E15" s="67" t="str">
        <x:v>神像使用独立后世民间庙宇 Style Base，但不得改动权威图造型</x:v>
      </x:c>
      <x:c r="F15" s="67" t="str">
        <x:v>已确认</x:v>
      </x:c>
      <x:c r="G15" s="67" t="str">
        <x:v>@STATUE/@G06</x:v>
      </x:c>
      <x:c r="H15" s="67" t="str">
        <x:v>不得把神像神袍反推先秦人物</x:v>
      </x:c>
    </x:row>
    <x:row r="16" ht="42" customHeight="1">
      <x:c r="A16" s="67" t="str">
        <x:v>DEC-06</x:v>
      </x:c>
      <x:c r="B16" s="67" t="str">
        <x:v>材质</x:v>
      </x:c>
      <x:c r="C16" s="67" t="str">
        <x:v>神像表面结构</x:v>
      </x:c>
      <x:c r="D16" s="67" t="str">
        <x:v>权威图只锁造型，旧庙版本仍需表面材质方案</x:v>
      </x:c>
      <x:c r="E16" s="67" t="str">
        <x:v>老化只能作为不改结构的表面层；具体材质与老化程度待导演裁决</x:v>
      </x:c>
      <x:c r="F16" s="67" t="str">
        <x:v>待确认</x:v>
      </x:c>
      <x:c r="G16" s="67" t="str">
        <x:v>@STATUE</x:v>
      </x:c>
      <x:c r="H16" s="67" t="str">
        <x:v>脸、冠、冠翅、龙纹、双手物件和底座禁止改动</x:v>
      </x:c>
    </x:row>
    <x:row r="17" ht="42" customHeight="1">
      <x:c r="A17" s="67" t="str">
        <x:v>DEC-07</x:v>
      </x:c>
      <x:c r="B17" s="67" t="str">
        <x:v>一致性</x:v>
      </x:c>
      <x:c r="C17" s="67" t="str">
        <x:v>镜像禁用</x:v>
      </x:c>
      <x:c r="D17" s="67" t="str">
        <x:v>左眉断点与右衽易被镜像翻转</x:v>
      </x:c>
      <x:c r="E17" s="67" t="str">
        <x:v>所有输出记录人物自身左/右，镜像候选直接淘汰</x:v>
      </x:c>
      <x:c r="F17" s="67" t="str">
        <x:v>已确认</x:v>
      </x:c>
      <x:c r="G17" s="67" t="str">
        <x:v>全部人物/服装</x:v>
      </x:c>
      <x:c r="H17" s="67" t="str">
        <x:v>反打镜头也不翻转资产本身</x:v>
      </x:c>
    </x:row>
    <x:row r="18" ht="42" customHeight="1">
      <x:c r="A18" s="67" t="str">
        <x:v>DEC-08</x:v>
      </x:c>
      <x:c r="B18" s="67" t="str">
        <x:v>模板</x:v>
      </x:c>
      <x:c r="C18" s="67" t="str">
        <x:v>手势数量</x:v>
      </x:c>
      <x:c r="D18" s="67" t="str">
        <x:v>正文称六个关键手势，Prompt 实际列七项并混入微笑</x:v>
      </x:c>
      <x:c r="E18" s="67" t="str">
        <x:v>按年龄和镜头逐项重编号，以动作板为准</x:v>
      </x:c>
      <x:c r="F18" s="67" t="str">
        <x:v>已确认</x:v>
      </x:c>
      <x:c r="G18" s="67" t="str">
        <x:v>03_表情手势</x:v>
      </x:c>
      <x:c r="H18" s="67" t="str">
        <x:v>不再用“六个动作”作为数量验收</x:v>
      </x:c>
    </x:row>
    <x:row r="19" ht="42" customHeight="1">
      <x:c r="A19" s="67" t="str">
        <x:v>DEC-09</x:v>
      </x:c>
      <x:c r="B19" s="67" t="str">
        <x:v>模板</x:v>
      </x:c>
      <x:c r="C19" s="67" t="str">
        <x:v>G03/G06 例外</x:v>
      </x:c>
      <x:c r="D19" s="67" t="str">
        <x:v>通用六人 casting 模板与实际用途冲突</x:v>
      </x:c>
      <x:c r="E19" s="67" t="str">
        <x:v>G03只做1使者+2随从；G06只做剪影/手/供物</x:v>
      </x:c>
      <x:c r="F19" s="67" t="str">
        <x:v>已确认</x:v>
      </x:c>
      <x:c r="G19" s="67" t="str">
        <x:v>@G03/@G06</x:v>
      </x:c>
      <x:c r="H19" s="67" t="str">
        <x:v>避免错误扩产</x:v>
      </x:c>
    </x:row>
    <x:row r="20" ht="42" customHeight="1">
      <x:c r="A20" s="67" t="str">
        <x:v>DEC-10</x:v>
      </x:c>
      <x:c r="B20" s="67" t="str">
        <x:v>闸门</x:v>
      </x:c>
      <x:c r="C20" s="67" t="str">
        <x:v>剧情镜头扩产</x:v>
      </x:c>
      <x:c r="D20" s="67" t="str">
        <x:v>01 总流程与本分支约束</x:v>
      </x:c>
      <x:c r="E20" s="67" t="str">
        <x:v>7项核心/校准资产和10项首批队列均通过后才扩产</x:v>
      </x:c>
      <x:c r="F20" s="67" t="str">
        <x:v>已确认</x:v>
      </x:c>
      <x:c r="G20" s="67" t="str">
        <x:v>全部31个人物镜头</x:v>
      </x:c>
      <x:c r="H20" s="67" t="str">
        <x:v>人物闸门公式见 00_总览 B13</x:v>
      </x:c>
    </x:row>
    <x:row r="21" ht="42" customHeight="1">
      <x:c r="A21" s="67" t="str">
        <x:v>DEC-11</x:v>
      </x:c>
      <x:c r="B21" s="67" t="str">
        <x:v>导演裁决</x:v>
      </x:c>
      <x:c r="C21" s="67" t="str">
        <x:v>亮蓝宝珠是否实际发光</x:v>
      </x:c>
      <x:c r="D21" s="67" t="str">
        <x:v>用户权威参考只锁定宝珠造型与颜色</x:v>
      </x:c>
      <x:c r="E21" s="67" t="str">
        <x:v>分别保留“不发光/弱内发光”候选；未裁决前不写入主母版</x:v>
      </x:c>
      <x:c r="F21" s="67" t="str">
        <x:v>待确认</x:v>
      </x:c>
      <x:c r="G21" s="67" t="str">
        <x:v>@STATUE/@EXP_STATUE_*</x:v>
      </x:c>
      <x:c r="H21" s="67" t="str">
        <x:v>眼球一律不发光</x:v>
      </x:c>
    </x:row>
    <x:row r="22" ht="42" customHeight="1">
      <x:c r="A22" s="67" t="str">
        <x:v>DEC-12</x:v>
      </x:c>
      <x:c r="B22" s="67" t="str">
        <x:v>导演裁决</x:v>
      </x:c>
      <x:c r="C22" s="67" t="str">
        <x:v>神像老化程度</x:v>
      </x:c>
      <x:c r="D22" s="67" t="str">
        <x:v>旧庙版本允许增加表面层</x:v>
      </x:c>
      <x:c r="E22" s="67" t="str">
        <x:v>保留轻/中两档表面老化测试；不得遮盖盘龙、云纹与结构锁点</x:v>
      </x:c>
      <x:c r="F22" s="67" t="str">
        <x:v>待确认</x:v>
      </x:c>
      <x:c r="G22" s="67" t="str">
        <x:v>@STATUE/@CST_STATUE_LATER_ROBE</x:v>
      </x:c>
      <x:c r="H22" s="67" t="str">
        <x:v>不做重度缺损</x:v>
      </x:c>
    </x:row>
  </x:sheetData>
  <x:mergeCells>
    <x:mergeCell ref="A1:H1"/>
    <x:mergeCell ref="A2:H2"/>
  </x:mergeCells>
  <x:conditionalFormatting sqref="F5:F22">
    <x:cfRule type="containsText" dxfId="70" priority="1" operator="containsText" text="已确认"/>
    <x:cfRule type="containsText" dxfId="71" priority="2" operator="containsText" text="待确认"/>
  </x:conditionalFormatting>
  <x:dataValidations count="1">
    <x:dataValidation type="list" sqref="F5:F22">
      <x:formula1>"已确认,待确认,已否决"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ea98971676443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9" hidden="0" customWidth="1"/>
    <x:col min="3" max="3" width="22" hidden="0" customWidth="1"/>
    <x:col min="4" max="4" width="72" hidden="0" customWidth="1"/>
    <x:col min="5" max="5" width="46" hidden="0" customWidth="1"/>
    <x:col min="6" max="6" width="14" hidden="0" customWidth="1"/>
    <x:col min="7" max="7" width="40" hidden="0" customWidth="1"/>
  </x:cols>
  <x:sheetData>
    <x:row r="1" ht="30" customHeight="1">
      <x:c r="A1" s="3" t="str">
        <x:v>09｜人物资产归档目录映射</x:v>
      </x:c>
      <x:c r="B1" s="3"/>
      <x:c r="C1" s="3"/>
      <x:c r="D1" s="3"/>
      <x:c r="E1" s="3"/>
      <x:c r="F1" s="3"/>
      <x:c r="G1" s="3"/>
    </x:row>
    <x:row r="2" ht="32" customHeight="1">
      <x:c r="A2" s="7" t="str">
        <x:v>统一根目录：D:/范蠡AIGC/01_人物资产｜只归档人物分支，不改写其他分支文件。</x:v>
      </x:c>
      <x:c r="B2" s="7"/>
      <x:c r="C2" s="7"/>
      <x:c r="D2" s="7"/>
      <x:c r="E2" s="7"/>
      <x:c r="F2" s="7"/>
      <x:c r="G2" s="7"/>
    </x:row>
    <x:row r="3">
      <x:c r="A3" s="70"/>
      <x:c r="B3" s="70"/>
      <x:c r="C3" s="70"/>
      <x:c r="D3" s="70"/>
      <x:c r="E3" s="70"/>
      <x:c r="F3" s="70"/>
      <x:c r="G3" s="70"/>
    </x:row>
    <x:row r="4" ht="34" customHeight="1">
      <x:c r="A4" s="58" t="str">
        <x:v>角色/范围</x:v>
      </x:c>
      <x:c r="B4" s="59" t="str">
        <x:v>目录层级</x:v>
      </x:c>
      <x:c r="C4" s="59" t="str">
        <x:v>归档用途</x:v>
      </x:c>
      <x:c r="D4" s="59" t="str">
        <x:v>绝对路径</x:v>
      </x:c>
      <x:c r="E4" s="59" t="str">
        <x:v>应存内容</x:v>
      </x:c>
      <x:c r="F4" s="59" t="str">
        <x:v>当前状态</x:v>
      </x:c>
      <x:c r="G4" s="60" t="str">
        <x:v>备注</x:v>
      </x:c>
    </x:row>
    <x:row r="5" ht="42" customHeight="1">
      <x:c r="A5" s="66" t="str">
        <x:v>共享参考与校准图</x:v>
      </x:c>
      <x:c r="B5" s="66" t="str">
        <x:v>00_分支规格与提示词</x:v>
      </x:c>
      <x:c r="C5" s="66" t="str">
        <x:v>分支规格</x:v>
      </x:c>
      <x:c r="D5" s="66" t="str">
        <x:v>D:/范蠡AIGC/01_人物资产/共享参考与校准图/00_分支规格与提示词</x:v>
      </x:c>
      <x:c r="E5" s="66" t="str">
        <x:v>台账、角色规范、提示词母版</x:v>
      </x:c>
      <x:c r="F5" s="66" t="str">
        <x:v>已创建</x:v>
      </x:c>
      <x:c r="G5" s="66" t="str"/>
    </x:row>
    <x:row r="6" ht="42" customHeight="1">
      <x:c r="A6" s="67" t="str">
        <x:v>共享参考与校准图</x:v>
      </x:c>
      <x:c r="B6" s="67" t="str">
        <x:v>01_三龄校准图</x:v>
      </x:c>
      <x:c r="C6" s="67" t="str">
        <x:v>三龄校准</x:v>
      </x:c>
      <x:c r="D6" s="67" t="str">
        <x:v>D:/范蠡AIGC/01_人物资产/共享参考与校准图/01_三龄校准图</x:v>
      </x:c>
      <x:c r="E6" s="67" t="str">
        <x:v>FL35/FL45/TZG60 同框与对齐裁切</x:v>
      </x:c>
      <x:c r="F6" s="67" t="str">
        <x:v>已创建</x:v>
      </x:c>
      <x:c r="G6" s="67" t="str"/>
    </x:row>
    <x:row r="7" ht="42" customHeight="1">
      <x:c r="A7" s="67" t="str">
        <x:v>共享参考与校准图</x:v>
      </x:c>
      <x:c r="B7" s="67" t="str">
        <x:v>02_共享身份参考</x:v>
      </x:c>
      <x:c r="C7" s="67" t="str">
        <x:v>身份参考</x:v>
      </x:c>
      <x:c r="D7" s="67" t="str">
        <x:v>D:/范蠡AIGC/01_人物资产/共享参考与校准图/02_共享身份参考</x:v>
      </x:c>
      <x:c r="E7" s="67" t="str">
        <x:v>根脸、骨相标志线、共享身份参考</x:v>
      </x:c>
      <x:c r="F7" s="67" t="str">
        <x:v>已创建</x:v>
      </x:c>
      <x:c r="G7" s="67" t="str"/>
    </x:row>
    <x:row r="8" ht="42" customHeight="1">
      <x:c r="A8" s="67" t="str">
        <x:v>共享参考与校准图</x:v>
      </x:c>
      <x:c r="B8" s="67" t="str">
        <x:v>03_神像权威参考</x:v>
      </x:c>
      <x:c r="C8" s="67" t="str">
        <x:v>神像权威</x:v>
      </x:c>
      <x:c r="D8" s="67" t="str">
        <x:v>D:/范蠡AIGC/01_人物资产/共享参考与校准图/03_神像权威参考</x:v>
      </x:c>
      <x:c r="E8" s="67" t="str">
        <x:v>财神正面.png 原图及登记信息</x:v>
      </x:c>
      <x:c r="F8" s="67" t="str">
        <x:v>已创建</x:v>
      </x:c>
      <x:c r="G8" s="67" t="str"/>
    </x:row>
    <x:row r="9" ht="42" customHeight="1">
      <x:c r="A9" s="67" t="str">
        <x:v>共享参考与校准图</x:v>
      </x:c>
      <x:c r="B9" s="67" t="str">
        <x:v>04_参数与种子</x:v>
      </x:c>
      <x:c r="C9" s="67" t="str">
        <x:v>共享参数</x:v>
      </x:c>
      <x:c r="D9" s="67" t="str">
        <x:v>D:/范蠡AIGC/01_人物资产/共享参考与校准图/04_参数与种子</x:v>
      </x:c>
      <x:c r="E9" s="67" t="str">
        <x:v>模型、seed、采样器、版本映射</x:v>
      </x:c>
      <x:c r="F9" s="67" t="str">
        <x:v>已创建</x:v>
      </x:c>
      <x:c r="G9" s="67" t="str"/>
    </x:row>
    <x:row r="10" ht="42" customHeight="1">
      <x:c r="A10" s="67" t="str">
        <x:v>共享参考与校准图</x:v>
      </x:c>
      <x:c r="B10" s="67" t="str">
        <x:v>05_验收记录</x:v>
      </x:c>
      <x:c r="C10" s="67" t="str">
        <x:v>共享验收</x:v>
      </x:c>
      <x:c r="D10" s="67" t="str">
        <x:v>D:/范蠡AIGC/01_人物资产/共享参考与校准图/05_验收记录</x:v>
      </x:c>
      <x:c r="E10" s="67" t="str">
        <x:v>三龄盲测、闸门记录、导演签核</x:v>
      </x:c>
      <x:c r="F10" s="67" t="str">
        <x:v>已创建</x:v>
      </x:c>
      <x:c r="G10" s="67" t="str"/>
    </x:row>
    <x:row r="11" ht="42" customHeight="1">
      <x:c r="A11" s="67" t="str">
        <x:v>FL35_青年范蠡</x:v>
      </x:c>
      <x:c r="B11" s="67" t="str">
        <x:v>00_规格与提示词</x:v>
      </x:c>
      <x:c r="C11" s="67" t="str">
        <x:v>规格提示词</x:v>
      </x:c>
      <x:c r="D11" s="67" t="str">
        <x:v>D:/范蠡AIGC/01_人物资产/FL35_青年范蠡/00_规格与提示词</x:v>
      </x:c>
      <x:c r="E11" s="67" t="str">
        <x:v>角色卡、正/负面提示词、版本说明</x:v>
      </x:c>
      <x:c r="F11" s="67" t="str">
        <x:v>已创建</x:v>
      </x:c>
      <x:c r="G11" s="67" t="str"/>
    </x:row>
    <x:row r="12" ht="42" customHeight="1">
      <x:c r="A12" s="67" t="str">
        <x:v>FL35_青年范蠡</x:v>
      </x:c>
      <x:c r="B12" s="67" t="str">
        <x:v>01_参考图</x:v>
      </x:c>
      <x:c r="C12" s="67" t="str">
        <x:v>参考输入</x:v>
      </x:c>
      <x:c r="D12" s="67" t="str">
        <x:v>D:/范蠡AIGC/01_人物资产/FL35_青年范蠡/01_参考图</x:v>
      </x:c>
      <x:c r="E12" s="67" t="str">
        <x:v>经授权的参考图与来源记录</x:v>
      </x:c>
      <x:c r="F12" s="67" t="str">
        <x:v>已创建</x:v>
      </x:c>
      <x:c r="G12" s="67" t="str"/>
    </x:row>
    <x:row r="13" ht="42" customHeight="1">
      <x:c r="A13" s="67" t="str">
        <x:v>FL35_青年范蠡</x:v>
      </x:c>
      <x:c r="B13" s="67" t="str">
        <x:v>02_候选图</x:v>
      </x:c>
      <x:c r="C13" s="67" t="str">
        <x:v>候选输出</x:v>
      </x:c>
      <x:c r="D13" s="67" t="str">
        <x:v>D:/范蠡AIGC/01_人物资产/FL35_青年范蠡/02_候选图</x:v>
      </x:c>
      <x:c r="E13" s="67" t="str">
        <x:v>未批准候选及淘汰原因</x:v>
      </x:c>
      <x:c r="F13" s="67" t="str">
        <x:v>已创建</x:v>
      </x:c>
      <x:c r="G13" s="67" t="str"/>
    </x:row>
    <x:row r="14" ht="42" customHeight="1">
      <x:c r="A14" s="67" t="str">
        <x:v>FL35_青年范蠡</x:v>
      </x:c>
      <x:c r="B14" s="67" t="str">
        <x:v>03_批准图</x:v>
      </x:c>
      <x:c r="C14" s="67" t="str">
        <x:v>批准资产</x:v>
      </x:c>
      <x:c r="D14" s="67" t="str">
        <x:v>D:/范蠡AIGC/01_人物资产/FL35_青年范蠡/03_批准图</x:v>
      </x:c>
      <x:c r="E14" s="67" t="str">
        <x:v>唯一批准母版、转面、全身、动作板</x:v>
      </x:c>
      <x:c r="F14" s="67" t="str">
        <x:v>已创建</x:v>
      </x:c>
      <x:c r="G14" s="67" t="str"/>
    </x:row>
    <x:row r="15" ht="42" customHeight="1">
      <x:c r="A15" s="67" t="str">
        <x:v>FL35_青年范蠡</x:v>
      </x:c>
      <x:c r="B15" s="67" t="str">
        <x:v>04_参数与种子</x:v>
      </x:c>
      <x:c r="C15" s="67" t="str">
        <x:v>复现参数</x:v>
      </x:c>
      <x:c r="D15" s="67" t="str">
        <x:v>D:/范蠡AIGC/01_人物资产/FL35_青年范蠡/04_参数与种子</x:v>
      </x:c>
      <x:c r="E15" s="67" t="str">
        <x:v>模型、seed、工作流、生成参数</x:v>
      </x:c>
      <x:c r="F15" s="67" t="str">
        <x:v>已创建</x:v>
      </x:c>
      <x:c r="G15" s="67" t="str"/>
    </x:row>
    <x:row r="16" ht="42" customHeight="1">
      <x:c r="A16" s="67" t="str">
        <x:v>FL35_青年范蠡</x:v>
      </x:c>
      <x:c r="B16" s="67" t="str">
        <x:v>05_验收记录</x:v>
      </x:c>
      <x:c r="C16" s="67" t="str">
        <x:v>验收证据</x:v>
      </x:c>
      <x:c r="D16" s="67" t="str">
        <x:v>D:/范蠡AIGC/01_人物资产/FL35_青年范蠡/05_验收记录</x:v>
      </x:c>
      <x:c r="E16" s="67" t="str">
        <x:v>检查表、对比图、审核人与日期</x:v>
      </x:c>
      <x:c r="F16" s="67" t="str">
        <x:v>已创建</x:v>
      </x:c>
      <x:c r="G16" s="67" t="str"/>
    </x:row>
    <x:row r="17" ht="42" customHeight="1">
      <x:c r="A17" s="67" t="str">
        <x:v>FL45_中年范蠡</x:v>
      </x:c>
      <x:c r="B17" s="67" t="str">
        <x:v>00_规格与提示词</x:v>
      </x:c>
      <x:c r="C17" s="67" t="str">
        <x:v>规格提示词</x:v>
      </x:c>
      <x:c r="D17" s="67" t="str">
        <x:v>D:/范蠡AIGC/01_人物资产/FL45_中年范蠡/00_规格与提示词</x:v>
      </x:c>
      <x:c r="E17" s="67" t="str">
        <x:v>角色卡、正/负面提示词、版本说明</x:v>
      </x:c>
      <x:c r="F17" s="67" t="str">
        <x:v>已创建</x:v>
      </x:c>
      <x:c r="G17" s="67" t="str"/>
    </x:row>
    <x:row r="18" ht="42" customHeight="1">
      <x:c r="A18" s="67" t="str">
        <x:v>FL45_中年范蠡</x:v>
      </x:c>
      <x:c r="B18" s="67" t="str">
        <x:v>01_参考图</x:v>
      </x:c>
      <x:c r="C18" s="67" t="str">
        <x:v>参考输入</x:v>
      </x:c>
      <x:c r="D18" s="67" t="str">
        <x:v>D:/范蠡AIGC/01_人物资产/FL45_中年范蠡/01_参考图</x:v>
      </x:c>
      <x:c r="E18" s="67" t="str">
        <x:v>经授权的参考图与来源记录</x:v>
      </x:c>
      <x:c r="F18" s="67" t="str">
        <x:v>已创建</x:v>
      </x:c>
      <x:c r="G18" s="67" t="str"/>
    </x:row>
    <x:row r="19" ht="42" customHeight="1">
      <x:c r="A19" s="67" t="str">
        <x:v>FL45_中年范蠡</x:v>
      </x:c>
      <x:c r="B19" s="67" t="str">
        <x:v>02_候选图</x:v>
      </x:c>
      <x:c r="C19" s="67" t="str">
        <x:v>候选输出</x:v>
      </x:c>
      <x:c r="D19" s="67" t="str">
        <x:v>D:/范蠡AIGC/01_人物资产/FL45_中年范蠡/02_候选图</x:v>
      </x:c>
      <x:c r="E19" s="67" t="str">
        <x:v>未批准候选及淘汰原因</x:v>
      </x:c>
      <x:c r="F19" s="67" t="str">
        <x:v>已创建</x:v>
      </x:c>
      <x:c r="G19" s="67" t="str"/>
    </x:row>
    <x:row r="20" ht="42" customHeight="1">
      <x:c r="A20" s="67" t="str">
        <x:v>FL45_中年范蠡</x:v>
      </x:c>
      <x:c r="B20" s="67" t="str">
        <x:v>03_批准图</x:v>
      </x:c>
      <x:c r="C20" s="67" t="str">
        <x:v>批准资产</x:v>
      </x:c>
      <x:c r="D20" s="67" t="str">
        <x:v>D:/范蠡AIGC/01_人物资产/FL45_中年范蠡/03_批准图</x:v>
      </x:c>
      <x:c r="E20" s="67" t="str">
        <x:v>唯一批准母版、转面、全身、动作板</x:v>
      </x:c>
      <x:c r="F20" s="67" t="str">
        <x:v>已创建</x:v>
      </x:c>
      <x:c r="G20" s="67" t="str"/>
    </x:row>
    <x:row r="21" ht="42" customHeight="1">
      <x:c r="A21" s="67" t="str">
        <x:v>FL45_中年范蠡</x:v>
      </x:c>
      <x:c r="B21" s="67" t="str">
        <x:v>04_参数与种子</x:v>
      </x:c>
      <x:c r="C21" s="67" t="str">
        <x:v>复现参数</x:v>
      </x:c>
      <x:c r="D21" s="67" t="str">
        <x:v>D:/范蠡AIGC/01_人物资产/FL45_中年范蠡/04_参数与种子</x:v>
      </x:c>
      <x:c r="E21" s="67" t="str">
        <x:v>模型、seed、工作流、生成参数</x:v>
      </x:c>
      <x:c r="F21" s="67" t="str">
        <x:v>已创建</x:v>
      </x:c>
      <x:c r="G21" s="67" t="str"/>
    </x:row>
    <x:row r="22" ht="42" customHeight="1">
      <x:c r="A22" s="67" t="str">
        <x:v>FL45_中年范蠡</x:v>
      </x:c>
      <x:c r="B22" s="67" t="str">
        <x:v>05_验收记录</x:v>
      </x:c>
      <x:c r="C22" s="67" t="str">
        <x:v>验收证据</x:v>
      </x:c>
      <x:c r="D22" s="67" t="str">
        <x:v>D:/范蠡AIGC/01_人物资产/FL45_中年范蠡/05_验收记录</x:v>
      </x:c>
      <x:c r="E22" s="67" t="str">
        <x:v>检查表、对比图、审核人与日期</x:v>
      </x:c>
      <x:c r="F22" s="67" t="str">
        <x:v>已创建</x:v>
      </x:c>
      <x:c r="G22" s="67" t="str"/>
    </x:row>
    <x:row r="23" ht="42" customHeight="1">
      <x:c r="A23" s="67" t="str">
        <x:v>TZG60_陶朱公</x:v>
      </x:c>
      <x:c r="B23" s="67" t="str">
        <x:v>00_规格与提示词</x:v>
      </x:c>
      <x:c r="C23" s="67" t="str">
        <x:v>规格提示词</x:v>
      </x:c>
      <x:c r="D23" s="67" t="str">
        <x:v>D:/范蠡AIGC/01_人物资产/TZG60_陶朱公/00_规格与提示词</x:v>
      </x:c>
      <x:c r="E23" s="67" t="str">
        <x:v>角色卡、正/负面提示词、版本说明</x:v>
      </x:c>
      <x:c r="F23" s="67" t="str">
        <x:v>已创建</x:v>
      </x:c>
      <x:c r="G23" s="67" t="str">
        <x:v>保留既有子分支规格文件，不覆盖</x:v>
      </x:c>
    </x:row>
    <x:row r="24" ht="42" customHeight="1">
      <x:c r="A24" s="67" t="str">
        <x:v>TZG60_陶朱公</x:v>
      </x:c>
      <x:c r="B24" s="67" t="str">
        <x:v>01_参考图</x:v>
      </x:c>
      <x:c r="C24" s="67" t="str">
        <x:v>参考输入</x:v>
      </x:c>
      <x:c r="D24" s="67" t="str">
        <x:v>D:/范蠡AIGC/01_人物资产/TZG60_陶朱公/01_参考图</x:v>
      </x:c>
      <x:c r="E24" s="67" t="str">
        <x:v>经授权的参考图与来源记录</x:v>
      </x:c>
      <x:c r="F24" s="67" t="str">
        <x:v>已创建</x:v>
      </x:c>
      <x:c r="G24" s="67" t="str">
        <x:v>保留既有子分支规格文件，不覆盖</x:v>
      </x:c>
    </x:row>
    <x:row r="25" ht="42" customHeight="1">
      <x:c r="A25" s="67" t="str">
        <x:v>TZG60_陶朱公</x:v>
      </x:c>
      <x:c r="B25" s="67" t="str">
        <x:v>02_候选图</x:v>
      </x:c>
      <x:c r="C25" s="67" t="str">
        <x:v>候选输出</x:v>
      </x:c>
      <x:c r="D25" s="67" t="str">
        <x:v>D:/范蠡AIGC/01_人物资产/TZG60_陶朱公/02_候选图</x:v>
      </x:c>
      <x:c r="E25" s="67" t="str">
        <x:v>未批准候选及淘汰原因</x:v>
      </x:c>
      <x:c r="F25" s="67" t="str">
        <x:v>已创建</x:v>
      </x:c>
      <x:c r="G25" s="67" t="str">
        <x:v>保留既有子分支规格文件，不覆盖</x:v>
      </x:c>
    </x:row>
    <x:row r="26" ht="42" customHeight="1">
      <x:c r="A26" s="67" t="str">
        <x:v>TZG60_陶朱公</x:v>
      </x:c>
      <x:c r="B26" s="67" t="str">
        <x:v>03_批准图</x:v>
      </x:c>
      <x:c r="C26" s="67" t="str">
        <x:v>批准资产</x:v>
      </x:c>
      <x:c r="D26" s="67" t="str">
        <x:v>D:/范蠡AIGC/01_人物资产/TZG60_陶朱公/03_批准图</x:v>
      </x:c>
      <x:c r="E26" s="67" t="str">
        <x:v>唯一批准母版、转面、全身、动作板</x:v>
      </x:c>
      <x:c r="F26" s="67" t="str">
        <x:v>已创建</x:v>
      </x:c>
      <x:c r="G26" s="67" t="str">
        <x:v>保留既有子分支规格文件，不覆盖</x:v>
      </x:c>
    </x:row>
    <x:row r="27" ht="42" customHeight="1">
      <x:c r="A27" s="67" t="str">
        <x:v>TZG60_陶朱公</x:v>
      </x:c>
      <x:c r="B27" s="67" t="str">
        <x:v>04_参数与种子</x:v>
      </x:c>
      <x:c r="C27" s="67" t="str">
        <x:v>复现参数</x:v>
      </x:c>
      <x:c r="D27" s="67" t="str">
        <x:v>D:/范蠡AIGC/01_人物资产/TZG60_陶朱公/04_参数与种子</x:v>
      </x:c>
      <x:c r="E27" s="67" t="str">
        <x:v>模型、seed、工作流、生成参数</x:v>
      </x:c>
      <x:c r="F27" s="67" t="str">
        <x:v>已创建</x:v>
      </x:c>
      <x:c r="G27" s="67" t="str">
        <x:v>保留既有子分支规格文件，不覆盖</x:v>
      </x:c>
    </x:row>
    <x:row r="28" ht="42" customHeight="1">
      <x:c r="A28" s="67" t="str">
        <x:v>TZG60_陶朱公</x:v>
      </x:c>
      <x:c r="B28" s="67" t="str">
        <x:v>05_验收记录</x:v>
      </x:c>
      <x:c r="C28" s="67" t="str">
        <x:v>验收证据</x:v>
      </x:c>
      <x:c r="D28" s="67" t="str">
        <x:v>D:/范蠡AIGC/01_人物资产/TZG60_陶朱公/05_验收记录</x:v>
      </x:c>
      <x:c r="E28" s="67" t="str">
        <x:v>检查表、对比图、审核人与日期</x:v>
      </x:c>
      <x:c r="F28" s="67" t="str">
        <x:v>已创建</x:v>
      </x:c>
      <x:c r="G28" s="67" t="str">
        <x:v>保留既有子分支规格文件，不覆盖</x:v>
      </x:c>
    </x:row>
    <x:row r="29" ht="42" customHeight="1">
      <x:c r="A29" s="67" t="str">
        <x:v>STATUE_财神神像</x:v>
      </x:c>
      <x:c r="B29" s="67" t="str">
        <x:v>00_规格与提示词</x:v>
      </x:c>
      <x:c r="C29" s="67" t="str">
        <x:v>规格提示词</x:v>
      </x:c>
      <x:c r="D29" s="67" t="str">
        <x:v>D:/范蠡AIGC/01_人物资产/STATUE_财神神像/00_规格与提示词</x:v>
      </x:c>
      <x:c r="E29" s="67" t="str">
        <x:v>权威造型锁点、提示词、导演裁决</x:v>
      </x:c>
      <x:c r="F29" s="67" t="str">
        <x:v>已创建</x:v>
      </x:c>
      <x:c r="G29" s="67" t="str"/>
    </x:row>
    <x:row r="30" ht="42" customHeight="1">
      <x:c r="A30" s="67" t="str">
        <x:v>STATUE_财神神像</x:v>
      </x:c>
      <x:c r="B30" s="67" t="str">
        <x:v>01_权威参考图</x:v>
      </x:c>
      <x:c r="C30" s="67" t="str">
        <x:v>权威参考</x:v>
      </x:c>
      <x:c r="D30" s="67" t="str">
        <x:v>D:/范蠡AIGC/01_人物资产/STATUE_财神神像/01_权威参考图</x:v>
      </x:c>
      <x:c r="E30" s="67" t="str">
        <x:v>财神正面.png 原图、校验信息、裁切</x:v>
      </x:c>
      <x:c r="F30" s="67" t="str">
        <x:v>已创建</x:v>
      </x:c>
      <x:c r="G30" s="67" t="str"/>
    </x:row>
    <x:row r="31" ht="42" customHeight="1">
      <x:c r="A31" s="67" t="str">
        <x:v>STATUE_财神神像</x:v>
      </x:c>
      <x:c r="B31" s="67" t="str">
        <x:v>02_候选图</x:v>
      </x:c>
      <x:c r="C31" s="67" t="str">
        <x:v>候选输出</x:v>
      </x:c>
      <x:c r="D31" s="67" t="str">
        <x:v>D:/范蠡AIGC/01_人物资产/STATUE_财神神像/02_候选图</x:v>
      </x:c>
      <x:c r="E31" s="67" t="str">
        <x:v>表面老化/宝珠发光候选</x:v>
      </x:c>
      <x:c r="F31" s="67" t="str">
        <x:v>已创建</x:v>
      </x:c>
      <x:c r="G31" s="67" t="str"/>
    </x:row>
    <x:row r="32" ht="42" customHeight="1">
      <x:c r="A32" s="67" t="str">
        <x:v>STATUE_财神神像</x:v>
      </x:c>
      <x:c r="B32" s="67" t="str">
        <x:v>03_批准图</x:v>
      </x:c>
      <x:c r="C32" s="67" t="str">
        <x:v>批准资产</x:v>
      </x:c>
      <x:c r="D32" s="67" t="str">
        <x:v>D:/范蠡AIGC/01_人物资产/STATUE_财神神像/03_批准图</x:v>
      </x:c>
      <x:c r="E32" s="67" t="str">
        <x:v>STATUE_MASTER 与批准派生</x:v>
      </x:c>
      <x:c r="F32" s="67" t="str">
        <x:v>已创建</x:v>
      </x:c>
      <x:c r="G32" s="67" t="str"/>
    </x:row>
    <x:row r="33" ht="42" customHeight="1">
      <x:c r="A33" s="67" t="str">
        <x:v>STATUE_财神神像</x:v>
      </x:c>
      <x:c r="B33" s="67" t="str">
        <x:v>04_参数与种子</x:v>
      </x:c>
      <x:c r="C33" s="67" t="str">
        <x:v>复现参数</x:v>
      </x:c>
      <x:c r="D33" s="67" t="str">
        <x:v>D:/范蠡AIGC/01_人物资产/STATUE_财神神像/04_参数与种子</x:v>
      </x:c>
      <x:c r="E33" s="67" t="str">
        <x:v>模型、seed、工作流、生成参数</x:v>
      </x:c>
      <x:c r="F33" s="67" t="str">
        <x:v>已创建</x:v>
      </x:c>
      <x:c r="G33" s="67" t="str"/>
    </x:row>
    <x:row r="34" ht="42" customHeight="1">
      <x:c r="A34" s="67" t="str">
        <x:v>STATUE_财神神像</x:v>
      </x:c>
      <x:c r="B34" s="67" t="str">
        <x:v>05_验收记录</x:v>
      </x:c>
      <x:c r="C34" s="67" t="str">
        <x:v>验收证据</x:v>
      </x:c>
      <x:c r="D34" s="67" t="str">
        <x:v>D:/范蠡AIGC/01_人物资产/STATUE_财神神像/05_验收记录</x:v>
      </x:c>
      <x:c r="E34" s="67" t="str">
        <x:v>结构叠加、纹样与双手物件核对</x:v>
      </x:c>
      <x:c r="F34" s="67" t="str">
        <x:v>已创建</x:v>
      </x:c>
      <x:c r="G34" s="67" t="str"/>
    </x:row>
    <x:row r="35" ht="42" customHeight="1">
      <x:c r="A35" s="67" t="str">
        <x:v>G01-G06_群演功能角色</x:v>
      </x:c>
      <x:c r="B35" s="67" t="str">
        <x:v>00_规格与提示词</x:v>
      </x:c>
      <x:c r="C35" s="67" t="str">
        <x:v>规格提示词</x:v>
      </x:c>
      <x:c r="D35" s="67" t="str">
        <x:v>D:/范蠡AIGC/01_人物资产/G01-G06_群演功能角色/00_规格与提示词</x:v>
      </x:c>
      <x:c r="E35" s="67" t="str">
        <x:v>角色卡、正/负面提示词、版本说明</x:v>
      </x:c>
      <x:c r="F35" s="67" t="str">
        <x:v>已创建</x:v>
      </x:c>
      <x:c r="G35" s="67" t="str"/>
    </x:row>
    <x:row r="36" ht="42" customHeight="1">
      <x:c r="A36" s="67" t="str">
        <x:v>G01-G06_群演功能角色</x:v>
      </x:c>
      <x:c r="B36" s="67" t="str">
        <x:v>01_参考图</x:v>
      </x:c>
      <x:c r="C36" s="67" t="str">
        <x:v>参考输入</x:v>
      </x:c>
      <x:c r="D36" s="67" t="str">
        <x:v>D:/范蠡AIGC/01_人物资产/G01-G06_群演功能角色/01_参考图</x:v>
      </x:c>
      <x:c r="E36" s="67" t="str">
        <x:v>经授权的参考图与来源记录</x:v>
      </x:c>
      <x:c r="F36" s="67" t="str">
        <x:v>已创建</x:v>
      </x:c>
      <x:c r="G36" s="67" t="str"/>
    </x:row>
    <x:row r="37" ht="42" customHeight="1">
      <x:c r="A37" s="67" t="str">
        <x:v>G01-G06_群演功能角色</x:v>
      </x:c>
      <x:c r="B37" s="67" t="str">
        <x:v>02_候选图</x:v>
      </x:c>
      <x:c r="C37" s="67" t="str">
        <x:v>候选输出</x:v>
      </x:c>
      <x:c r="D37" s="67" t="str">
        <x:v>D:/范蠡AIGC/01_人物资产/G01-G06_群演功能角色/02_候选图</x:v>
      </x:c>
      <x:c r="E37" s="67" t="str">
        <x:v>未批准候选及淘汰原因</x:v>
      </x:c>
      <x:c r="F37" s="67" t="str">
        <x:v>已创建</x:v>
      </x:c>
      <x:c r="G37" s="67" t="str"/>
    </x:row>
    <x:row r="38" ht="42" customHeight="1">
      <x:c r="A38" s="67" t="str">
        <x:v>G01-G06_群演功能角色</x:v>
      </x:c>
      <x:c r="B38" s="67" t="str">
        <x:v>03_批准图</x:v>
      </x:c>
      <x:c r="C38" s="67" t="str">
        <x:v>批准资产</x:v>
      </x:c>
      <x:c r="D38" s="67" t="str">
        <x:v>D:/范蠡AIGC/01_人物资产/G01-G06_群演功能角色/03_批准图</x:v>
      </x:c>
      <x:c r="E38" s="67" t="str">
        <x:v>唯一批准母版、转面、全身、动作板</x:v>
      </x:c>
      <x:c r="F38" s="67" t="str">
        <x:v>已创建</x:v>
      </x:c>
      <x:c r="G38" s="67" t="str"/>
    </x:row>
    <x:row r="39" ht="42" customHeight="1">
      <x:c r="A39" s="67" t="str">
        <x:v>G01-G06_群演功能角色</x:v>
      </x:c>
      <x:c r="B39" s="67" t="str">
        <x:v>04_参数与种子</x:v>
      </x:c>
      <x:c r="C39" s="67" t="str">
        <x:v>复现参数</x:v>
      </x:c>
      <x:c r="D39" s="67" t="str">
        <x:v>D:/范蠡AIGC/01_人物资产/G01-G06_群演功能角色/04_参数与种子</x:v>
      </x:c>
      <x:c r="E39" s="67" t="str">
        <x:v>模型、seed、工作流、生成参数</x:v>
      </x:c>
      <x:c r="F39" s="67" t="str">
        <x:v>已创建</x:v>
      </x:c>
      <x:c r="G39" s="67" t="str"/>
    </x:row>
    <x:row r="40" ht="42" customHeight="1">
      <x:c r="A40" s="67" t="str">
        <x:v>G01-G06_群演功能角色</x:v>
      </x:c>
      <x:c r="B40" s="67" t="str">
        <x:v>05_验收记录</x:v>
      </x:c>
      <x:c r="C40" s="67" t="str">
        <x:v>验收证据</x:v>
      </x:c>
      <x:c r="D40" s="67" t="str">
        <x:v>D:/范蠡AIGC/01_人物资产/G01-G06_群演功能角色/05_验收记录</x:v>
      </x:c>
      <x:c r="E40" s="67" t="str">
        <x:v>检查表、对比图、审核人与日期</x:v>
      </x:c>
      <x:c r="F40" s="67" t="str">
        <x:v>已创建</x:v>
      </x:c>
      <x:c r="G40" s="67" t="str"/>
    </x:row>
  </x:sheetData>
  <x:mergeCells>
    <x:mergeCell ref="A1:G1"/>
    <x:mergeCell ref="A2:G2"/>
  </x:mergeCells>
  <x:conditionalFormatting sqref="F5:F40">
    <x:cfRule type="containsText" dxfId="72" priority="1" operator="containsText" text="已创建"/>
    <x:cfRule type="containsText" dxfId="73" priority="2" operator="containsText" text="阻塞"/>
  </x:conditionalFormatting>
  <x:dataValidations count="1">
    <x:dataValidation type="list" sqref="F5:F40">
      <x:formula1>"已创建,待创建,阻塞"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775fffdfc7430d"/>
  </x:tableParts>
</x:worksheet>
</file>